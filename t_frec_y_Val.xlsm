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CUFIAUDITORIO\Documents\"/>
    </mc:Choice>
  </mc:AlternateContent>
  <xr:revisionPtr revIDLastSave="0" documentId="13_ncr:1_{F38BC1A2-CD38-42BB-A725-8D4A1D366B8D}" xr6:coauthVersionLast="47" xr6:coauthVersionMax="47" xr10:uidLastSave="{00000000-0000-0000-0000-000000000000}"/>
  <bookViews>
    <workbookView xWindow="0" yWindow="1080" windowWidth="28500" windowHeight="14265" xr2:uid="{37FBD368-BBBD-4CCF-9011-7094107D25E5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2" l="1"/>
  <c r="E4" i="2"/>
  <c r="E3" i="2"/>
  <c r="I22" i="2" s="1"/>
  <c r="F200" i="2"/>
  <c r="E200" i="2"/>
  <c r="D200" i="2"/>
  <c r="C200" i="2"/>
  <c r="F199" i="2"/>
  <c r="E199" i="2"/>
  <c r="D199" i="2"/>
  <c r="C199" i="2"/>
  <c r="F198" i="2"/>
  <c r="E198" i="2"/>
  <c r="D198" i="2"/>
  <c r="C198" i="2"/>
  <c r="F197" i="2"/>
  <c r="E197" i="2"/>
  <c r="D197" i="2"/>
  <c r="C197" i="2"/>
  <c r="F196" i="2"/>
  <c r="E196" i="2"/>
  <c r="D196" i="2"/>
  <c r="C196" i="2"/>
  <c r="F195" i="2"/>
  <c r="E195" i="2"/>
  <c r="D195" i="2"/>
  <c r="C195" i="2"/>
  <c r="F194" i="2"/>
  <c r="E194" i="2"/>
  <c r="D194" i="2"/>
  <c r="C194" i="2"/>
  <c r="F193" i="2"/>
  <c r="E193" i="2"/>
  <c r="D193" i="2"/>
  <c r="C193" i="2"/>
  <c r="F192" i="2"/>
  <c r="E192" i="2"/>
  <c r="D192" i="2"/>
  <c r="C192" i="2"/>
  <c r="F191" i="2"/>
  <c r="E191" i="2"/>
  <c r="D191" i="2"/>
  <c r="C191" i="2"/>
  <c r="F190" i="2"/>
  <c r="E190" i="2"/>
  <c r="D190" i="2"/>
  <c r="C190" i="2"/>
  <c r="F189" i="2"/>
  <c r="E189" i="2"/>
  <c r="D189" i="2"/>
  <c r="C189" i="2"/>
  <c r="F188" i="2"/>
  <c r="E188" i="2"/>
  <c r="D188" i="2"/>
  <c r="C188" i="2"/>
  <c r="F187" i="2"/>
  <c r="E187" i="2"/>
  <c r="D187" i="2"/>
  <c r="C187" i="2"/>
  <c r="F186" i="2"/>
  <c r="E186" i="2"/>
  <c r="D186" i="2"/>
  <c r="C186" i="2"/>
  <c r="F185" i="2"/>
  <c r="E185" i="2"/>
  <c r="D185" i="2"/>
  <c r="C185" i="2"/>
  <c r="F184" i="2"/>
  <c r="E184" i="2"/>
  <c r="D184" i="2"/>
  <c r="C184" i="2"/>
  <c r="F183" i="2"/>
  <c r="E183" i="2"/>
  <c r="D183" i="2"/>
  <c r="C183" i="2"/>
  <c r="F182" i="2"/>
  <c r="E182" i="2"/>
  <c r="D182" i="2"/>
  <c r="C182" i="2"/>
  <c r="F181" i="2"/>
  <c r="E181" i="2"/>
  <c r="D181" i="2"/>
  <c r="C181" i="2"/>
  <c r="F180" i="2"/>
  <c r="E180" i="2"/>
  <c r="D180" i="2"/>
  <c r="C180" i="2"/>
  <c r="F179" i="2"/>
  <c r="E179" i="2"/>
  <c r="D179" i="2"/>
  <c r="C179" i="2"/>
  <c r="F178" i="2"/>
  <c r="E178" i="2"/>
  <c r="D178" i="2"/>
  <c r="C178" i="2"/>
  <c r="F177" i="2"/>
  <c r="E177" i="2"/>
  <c r="D177" i="2"/>
  <c r="C177" i="2"/>
  <c r="F176" i="2"/>
  <c r="E176" i="2"/>
  <c r="D176" i="2"/>
  <c r="C176" i="2"/>
  <c r="F175" i="2"/>
  <c r="E175" i="2"/>
  <c r="D175" i="2"/>
  <c r="C175" i="2"/>
  <c r="F174" i="2"/>
  <c r="E174" i="2"/>
  <c r="D174" i="2"/>
  <c r="C174" i="2"/>
  <c r="F173" i="2"/>
  <c r="E173" i="2"/>
  <c r="D173" i="2"/>
  <c r="C173" i="2"/>
  <c r="F172" i="2"/>
  <c r="E172" i="2"/>
  <c r="D172" i="2"/>
  <c r="C172" i="2"/>
  <c r="F171" i="2"/>
  <c r="E171" i="2"/>
  <c r="D171" i="2"/>
  <c r="C171" i="2"/>
  <c r="F170" i="2"/>
  <c r="E170" i="2"/>
  <c r="D170" i="2"/>
  <c r="C170" i="2"/>
  <c r="F169" i="2"/>
  <c r="E169" i="2"/>
  <c r="D169" i="2"/>
  <c r="C169" i="2"/>
  <c r="F168" i="2"/>
  <c r="E168" i="2"/>
  <c r="D168" i="2"/>
  <c r="C168" i="2"/>
  <c r="F167" i="2"/>
  <c r="E167" i="2"/>
  <c r="D167" i="2"/>
  <c r="C167" i="2"/>
  <c r="F166" i="2"/>
  <c r="E166" i="2"/>
  <c r="D166" i="2"/>
  <c r="C166" i="2"/>
  <c r="F165" i="2"/>
  <c r="E165" i="2"/>
  <c r="D165" i="2"/>
  <c r="C165" i="2"/>
  <c r="F164" i="2"/>
  <c r="E164" i="2"/>
  <c r="D164" i="2"/>
  <c r="C164" i="2"/>
  <c r="F163" i="2"/>
  <c r="E163" i="2"/>
  <c r="D163" i="2"/>
  <c r="C163" i="2"/>
  <c r="F162" i="2"/>
  <c r="E162" i="2"/>
  <c r="D162" i="2"/>
  <c r="C162" i="2"/>
  <c r="F161" i="2"/>
  <c r="E161" i="2"/>
  <c r="D161" i="2"/>
  <c r="C161" i="2"/>
  <c r="F160" i="2"/>
  <c r="E160" i="2"/>
  <c r="D160" i="2"/>
  <c r="C160" i="2"/>
  <c r="F159" i="2"/>
  <c r="E159" i="2"/>
  <c r="D159" i="2"/>
  <c r="C159" i="2"/>
  <c r="F158" i="2"/>
  <c r="E158" i="2"/>
  <c r="D158" i="2"/>
  <c r="C158" i="2"/>
  <c r="F157" i="2"/>
  <c r="E157" i="2"/>
  <c r="D157" i="2"/>
  <c r="C157" i="2"/>
  <c r="F156" i="2"/>
  <c r="E156" i="2"/>
  <c r="D156" i="2"/>
  <c r="C156" i="2"/>
  <c r="F155" i="2"/>
  <c r="E155" i="2"/>
  <c r="D155" i="2"/>
  <c r="C155" i="2"/>
  <c r="F154" i="2"/>
  <c r="E154" i="2"/>
  <c r="D154" i="2"/>
  <c r="C154" i="2"/>
  <c r="F153" i="2"/>
  <c r="E153" i="2"/>
  <c r="D153" i="2"/>
  <c r="C153" i="2"/>
  <c r="F152" i="2"/>
  <c r="E152" i="2"/>
  <c r="D152" i="2"/>
  <c r="C152" i="2"/>
  <c r="F151" i="2"/>
  <c r="E151" i="2"/>
  <c r="D151" i="2"/>
  <c r="C151" i="2"/>
  <c r="F150" i="2"/>
  <c r="E150" i="2"/>
  <c r="D150" i="2"/>
  <c r="C150" i="2"/>
  <c r="F149" i="2"/>
  <c r="E149" i="2"/>
  <c r="D149" i="2"/>
  <c r="C149" i="2"/>
  <c r="F148" i="2"/>
  <c r="E148" i="2"/>
  <c r="D148" i="2"/>
  <c r="C148" i="2"/>
  <c r="F147" i="2"/>
  <c r="E147" i="2"/>
  <c r="D147" i="2"/>
  <c r="C147" i="2"/>
  <c r="F146" i="2"/>
  <c r="E146" i="2"/>
  <c r="D146" i="2"/>
  <c r="C146" i="2"/>
  <c r="F145" i="2"/>
  <c r="E145" i="2"/>
  <c r="D145" i="2"/>
  <c r="C145" i="2"/>
  <c r="F144" i="2"/>
  <c r="E144" i="2"/>
  <c r="D144" i="2"/>
  <c r="C144" i="2"/>
  <c r="F143" i="2"/>
  <c r="E143" i="2"/>
  <c r="D143" i="2"/>
  <c r="C143" i="2"/>
  <c r="F142" i="2"/>
  <c r="E142" i="2"/>
  <c r="D142" i="2"/>
  <c r="C142" i="2"/>
  <c r="F141" i="2"/>
  <c r="E141" i="2"/>
  <c r="D141" i="2"/>
  <c r="C141" i="2"/>
  <c r="F140" i="2"/>
  <c r="E140" i="2"/>
  <c r="D140" i="2"/>
  <c r="C140" i="2"/>
  <c r="F139" i="2"/>
  <c r="E139" i="2"/>
  <c r="D139" i="2"/>
  <c r="C139" i="2"/>
  <c r="F138" i="2"/>
  <c r="E138" i="2"/>
  <c r="D138" i="2"/>
  <c r="C138" i="2"/>
  <c r="F137" i="2"/>
  <c r="E137" i="2"/>
  <c r="D137" i="2"/>
  <c r="C137" i="2"/>
  <c r="F136" i="2"/>
  <c r="E136" i="2"/>
  <c r="D136" i="2"/>
  <c r="C136" i="2"/>
  <c r="F135" i="2"/>
  <c r="E135" i="2"/>
  <c r="D135" i="2"/>
  <c r="C135" i="2"/>
  <c r="F134" i="2"/>
  <c r="E134" i="2"/>
  <c r="D134" i="2"/>
  <c r="C134" i="2"/>
  <c r="F133" i="2"/>
  <c r="E133" i="2"/>
  <c r="D133" i="2"/>
  <c r="C133" i="2"/>
  <c r="F132" i="2"/>
  <c r="E132" i="2"/>
  <c r="D132" i="2"/>
  <c r="C132" i="2"/>
  <c r="F131" i="2"/>
  <c r="E131" i="2"/>
  <c r="D131" i="2"/>
  <c r="C131" i="2"/>
  <c r="F130" i="2"/>
  <c r="E130" i="2"/>
  <c r="D130" i="2"/>
  <c r="C130" i="2"/>
  <c r="F129" i="2"/>
  <c r="E129" i="2"/>
  <c r="D129" i="2"/>
  <c r="C129" i="2"/>
  <c r="F128" i="2"/>
  <c r="E128" i="2"/>
  <c r="D128" i="2"/>
  <c r="C128" i="2"/>
  <c r="F127" i="2"/>
  <c r="E127" i="2"/>
  <c r="D127" i="2"/>
  <c r="C127" i="2"/>
  <c r="F126" i="2"/>
  <c r="E126" i="2"/>
  <c r="D126" i="2"/>
  <c r="C126" i="2"/>
  <c r="F125" i="2"/>
  <c r="E125" i="2"/>
  <c r="D125" i="2"/>
  <c r="C125" i="2"/>
  <c r="F124" i="2"/>
  <c r="E124" i="2"/>
  <c r="D124" i="2"/>
  <c r="C124" i="2"/>
  <c r="F123" i="2"/>
  <c r="E123" i="2"/>
  <c r="D123" i="2"/>
  <c r="C123" i="2"/>
  <c r="F122" i="2"/>
  <c r="E122" i="2"/>
  <c r="D122" i="2"/>
  <c r="C122" i="2"/>
  <c r="F121" i="2"/>
  <c r="E121" i="2"/>
  <c r="D121" i="2"/>
  <c r="C121" i="2"/>
  <c r="F120" i="2"/>
  <c r="E120" i="2"/>
  <c r="D120" i="2"/>
  <c r="C120" i="2"/>
  <c r="F119" i="2"/>
  <c r="E119" i="2"/>
  <c r="D119" i="2"/>
  <c r="C119" i="2"/>
  <c r="F118" i="2"/>
  <c r="E118" i="2"/>
  <c r="D118" i="2"/>
  <c r="C118" i="2"/>
  <c r="F117" i="2"/>
  <c r="E117" i="2"/>
  <c r="D117" i="2"/>
  <c r="C117" i="2"/>
  <c r="F116" i="2"/>
  <c r="E116" i="2"/>
  <c r="D116" i="2"/>
  <c r="C116" i="2"/>
  <c r="F115" i="2"/>
  <c r="E115" i="2"/>
  <c r="D115" i="2"/>
  <c r="C115" i="2"/>
  <c r="F114" i="2"/>
  <c r="E114" i="2"/>
  <c r="D114" i="2"/>
  <c r="C114" i="2"/>
  <c r="F113" i="2"/>
  <c r="E113" i="2"/>
  <c r="D113" i="2"/>
  <c r="C113" i="2"/>
  <c r="F112" i="2"/>
  <c r="E112" i="2"/>
  <c r="D112" i="2"/>
  <c r="C112" i="2"/>
  <c r="F111" i="2"/>
  <c r="E111" i="2"/>
  <c r="D111" i="2"/>
  <c r="C111" i="2"/>
  <c r="F110" i="2"/>
  <c r="E110" i="2"/>
  <c r="D110" i="2"/>
  <c r="C110" i="2"/>
  <c r="F109" i="2"/>
  <c r="E109" i="2"/>
  <c r="D109" i="2"/>
  <c r="C109" i="2"/>
  <c r="F108" i="2"/>
  <c r="E108" i="2"/>
  <c r="D108" i="2"/>
  <c r="C108" i="2"/>
  <c r="F107" i="2"/>
  <c r="E107" i="2"/>
  <c r="D107" i="2"/>
  <c r="C107" i="2"/>
  <c r="F106" i="2"/>
  <c r="E106" i="2"/>
  <c r="D106" i="2"/>
  <c r="C106" i="2"/>
  <c r="F105" i="2"/>
  <c r="E105" i="2"/>
  <c r="D105" i="2"/>
  <c r="C105" i="2"/>
  <c r="F104" i="2"/>
  <c r="E104" i="2"/>
  <c r="D104" i="2"/>
  <c r="C104" i="2"/>
  <c r="F103" i="2"/>
  <c r="E103" i="2"/>
  <c r="D103" i="2"/>
  <c r="C103" i="2"/>
  <c r="F102" i="2"/>
  <c r="E102" i="2"/>
  <c r="D102" i="2"/>
  <c r="C102" i="2"/>
  <c r="F101" i="2"/>
  <c r="E101" i="2"/>
  <c r="D101" i="2"/>
  <c r="C101" i="2"/>
  <c r="F100" i="2"/>
  <c r="E100" i="2"/>
  <c r="D100" i="2"/>
  <c r="C100" i="2"/>
  <c r="F99" i="2"/>
  <c r="E99" i="2"/>
  <c r="D99" i="2"/>
  <c r="C99" i="2"/>
  <c r="F98" i="2"/>
  <c r="E98" i="2"/>
  <c r="D98" i="2"/>
  <c r="C98" i="2"/>
  <c r="F97" i="2"/>
  <c r="E97" i="2"/>
  <c r="D97" i="2"/>
  <c r="C97" i="2"/>
  <c r="F96" i="2"/>
  <c r="E96" i="2"/>
  <c r="D96" i="2"/>
  <c r="C96" i="2"/>
  <c r="F95" i="2"/>
  <c r="E95" i="2"/>
  <c r="D95" i="2"/>
  <c r="C95" i="2"/>
  <c r="F94" i="2"/>
  <c r="E94" i="2"/>
  <c r="D94" i="2"/>
  <c r="C94" i="2"/>
  <c r="F93" i="2"/>
  <c r="E93" i="2"/>
  <c r="D93" i="2"/>
  <c r="C93" i="2"/>
  <c r="F92" i="2"/>
  <c r="E92" i="2"/>
  <c r="D92" i="2"/>
  <c r="C92" i="2"/>
  <c r="F91" i="2"/>
  <c r="E91" i="2"/>
  <c r="D91" i="2"/>
  <c r="C91" i="2"/>
  <c r="F90" i="2"/>
  <c r="E90" i="2"/>
  <c r="D90" i="2"/>
  <c r="C90" i="2"/>
  <c r="F89" i="2"/>
  <c r="E89" i="2"/>
  <c r="D89" i="2"/>
  <c r="C89" i="2"/>
  <c r="F88" i="2"/>
  <c r="E88" i="2"/>
  <c r="D88" i="2"/>
  <c r="C88" i="2"/>
  <c r="F87" i="2"/>
  <c r="E87" i="2"/>
  <c r="D87" i="2"/>
  <c r="C87" i="2"/>
  <c r="F86" i="2"/>
  <c r="E86" i="2"/>
  <c r="D86" i="2"/>
  <c r="C86" i="2"/>
  <c r="F85" i="2"/>
  <c r="E85" i="2"/>
  <c r="D85" i="2"/>
  <c r="C85" i="2"/>
  <c r="F84" i="2"/>
  <c r="E84" i="2"/>
  <c r="D84" i="2"/>
  <c r="C84" i="2"/>
  <c r="F83" i="2"/>
  <c r="E83" i="2"/>
  <c r="D83" i="2"/>
  <c r="C83" i="2"/>
  <c r="F82" i="2"/>
  <c r="E82" i="2"/>
  <c r="D82" i="2"/>
  <c r="C82" i="2"/>
  <c r="F81" i="2"/>
  <c r="E81" i="2"/>
  <c r="D81" i="2"/>
  <c r="C81" i="2"/>
  <c r="F80" i="2"/>
  <c r="E80" i="2"/>
  <c r="D80" i="2"/>
  <c r="C80" i="2"/>
  <c r="F79" i="2"/>
  <c r="E79" i="2"/>
  <c r="D79" i="2"/>
  <c r="C79" i="2"/>
  <c r="F78" i="2"/>
  <c r="E78" i="2"/>
  <c r="D78" i="2"/>
  <c r="C78" i="2"/>
  <c r="F77" i="2"/>
  <c r="E77" i="2"/>
  <c r="D77" i="2"/>
  <c r="C77" i="2"/>
  <c r="F76" i="2"/>
  <c r="E76" i="2"/>
  <c r="D76" i="2"/>
  <c r="C76" i="2"/>
  <c r="F75" i="2"/>
  <c r="E75" i="2"/>
  <c r="D75" i="2"/>
  <c r="C75" i="2"/>
  <c r="F74" i="2"/>
  <c r="E74" i="2"/>
  <c r="D74" i="2"/>
  <c r="C74" i="2"/>
  <c r="F73" i="2"/>
  <c r="E73" i="2"/>
  <c r="D73" i="2"/>
  <c r="C73" i="2"/>
  <c r="F72" i="2"/>
  <c r="E72" i="2"/>
  <c r="D72" i="2"/>
  <c r="C72" i="2"/>
  <c r="F71" i="2"/>
  <c r="E71" i="2"/>
  <c r="D71" i="2"/>
  <c r="C71" i="2"/>
  <c r="F70" i="2"/>
  <c r="E70" i="2"/>
  <c r="D70" i="2"/>
  <c r="C70" i="2"/>
  <c r="F69" i="2"/>
  <c r="E69" i="2"/>
  <c r="D69" i="2"/>
  <c r="C69" i="2"/>
  <c r="F68" i="2"/>
  <c r="E68" i="2"/>
  <c r="D68" i="2"/>
  <c r="C68" i="2"/>
  <c r="F67" i="2"/>
  <c r="E67" i="2"/>
  <c r="D67" i="2"/>
  <c r="C67" i="2"/>
  <c r="F66" i="2"/>
  <c r="E66" i="2"/>
  <c r="D66" i="2"/>
  <c r="C66" i="2"/>
  <c r="F65" i="2"/>
  <c r="E65" i="2"/>
  <c r="D65" i="2"/>
  <c r="C65" i="2"/>
  <c r="F64" i="2"/>
  <c r="E64" i="2"/>
  <c r="D64" i="2"/>
  <c r="C64" i="2"/>
  <c r="F63" i="2"/>
  <c r="E63" i="2"/>
  <c r="D63" i="2"/>
  <c r="C63" i="2"/>
  <c r="F62" i="2"/>
  <c r="E62" i="2"/>
  <c r="D62" i="2"/>
  <c r="C62" i="2"/>
  <c r="F61" i="2"/>
  <c r="E61" i="2"/>
  <c r="D61" i="2"/>
  <c r="C61" i="2"/>
  <c r="F60" i="2"/>
  <c r="E60" i="2"/>
  <c r="D60" i="2"/>
  <c r="C60" i="2"/>
  <c r="F59" i="2"/>
  <c r="E59" i="2"/>
  <c r="D59" i="2"/>
  <c r="C59" i="2"/>
  <c r="F58" i="2"/>
  <c r="E58" i="2"/>
  <c r="D58" i="2"/>
  <c r="C58" i="2"/>
  <c r="F57" i="2"/>
  <c r="E57" i="2"/>
  <c r="D57" i="2"/>
  <c r="C57" i="2"/>
  <c r="F56" i="2"/>
  <c r="E56" i="2"/>
  <c r="D56" i="2"/>
  <c r="C56" i="2"/>
  <c r="F55" i="2"/>
  <c r="E55" i="2"/>
  <c r="D55" i="2"/>
  <c r="C55" i="2"/>
  <c r="F54" i="2"/>
  <c r="E54" i="2"/>
  <c r="D54" i="2"/>
  <c r="C54" i="2"/>
  <c r="F53" i="2"/>
  <c r="E53" i="2"/>
  <c r="D53" i="2"/>
  <c r="C53" i="2"/>
  <c r="F52" i="2"/>
  <c r="E52" i="2"/>
  <c r="D52" i="2"/>
  <c r="C52" i="2"/>
  <c r="F51" i="2"/>
  <c r="E51" i="2"/>
  <c r="D51" i="2"/>
  <c r="C51" i="2"/>
  <c r="F50" i="2"/>
  <c r="E50" i="2"/>
  <c r="D50" i="2"/>
  <c r="C50" i="2"/>
  <c r="F49" i="2"/>
  <c r="E49" i="2"/>
  <c r="D49" i="2"/>
  <c r="C49" i="2"/>
  <c r="F48" i="2"/>
  <c r="E48" i="2"/>
  <c r="D48" i="2"/>
  <c r="C48" i="2"/>
  <c r="F47" i="2"/>
  <c r="E47" i="2"/>
  <c r="D47" i="2"/>
  <c r="C47" i="2"/>
  <c r="F46" i="2"/>
  <c r="E46" i="2"/>
  <c r="D46" i="2"/>
  <c r="C46" i="2"/>
  <c r="F45" i="2"/>
  <c r="E45" i="2"/>
  <c r="D45" i="2"/>
  <c r="C45" i="2"/>
  <c r="F44" i="2"/>
  <c r="E44" i="2"/>
  <c r="D44" i="2"/>
  <c r="C44" i="2"/>
  <c r="F43" i="2"/>
  <c r="E43" i="2"/>
  <c r="D43" i="2"/>
  <c r="C43" i="2"/>
  <c r="F42" i="2"/>
  <c r="E42" i="2"/>
  <c r="D42" i="2"/>
  <c r="C42" i="2"/>
  <c r="F41" i="2"/>
  <c r="E41" i="2"/>
  <c r="D41" i="2"/>
  <c r="C41" i="2"/>
  <c r="F40" i="2"/>
  <c r="E40" i="2"/>
  <c r="D40" i="2"/>
  <c r="C40" i="2"/>
  <c r="F39" i="2"/>
  <c r="E39" i="2"/>
  <c r="D39" i="2"/>
  <c r="C39" i="2"/>
  <c r="F38" i="2"/>
  <c r="E38" i="2"/>
  <c r="D38" i="2"/>
  <c r="C38" i="2"/>
  <c r="F37" i="2"/>
  <c r="E37" i="2"/>
  <c r="D37" i="2"/>
  <c r="C37" i="2"/>
  <c r="F36" i="2"/>
  <c r="E36" i="2"/>
  <c r="D36" i="2"/>
  <c r="C36" i="2"/>
  <c r="F35" i="2"/>
  <c r="E35" i="2"/>
  <c r="D35" i="2"/>
  <c r="C35" i="2"/>
  <c r="F34" i="2"/>
  <c r="E34" i="2"/>
  <c r="D34" i="2"/>
  <c r="C34" i="2"/>
  <c r="F33" i="2"/>
  <c r="E33" i="2"/>
  <c r="D33" i="2"/>
  <c r="C33" i="2"/>
  <c r="F32" i="2"/>
  <c r="E32" i="2"/>
  <c r="D32" i="2"/>
  <c r="C32" i="2"/>
  <c r="C31" i="2"/>
  <c r="C30" i="2"/>
  <c r="C29" i="2"/>
  <c r="C28" i="2"/>
  <c r="C27" i="2"/>
  <c r="C26" i="2"/>
  <c r="C24" i="2"/>
  <c r="C23" i="2"/>
  <c r="C22" i="2"/>
  <c r="C21" i="2"/>
  <c r="C20" i="2"/>
  <c r="C19" i="2"/>
  <c r="C10" i="2" l="1"/>
  <c r="C13" i="2"/>
  <c r="C9" i="2"/>
  <c r="C11" i="2"/>
  <c r="C14" i="2"/>
  <c r="C16" i="2"/>
  <c r="C17" i="2"/>
  <c r="D30" i="2"/>
  <c r="E30" i="2" s="1"/>
  <c r="F30" i="2" s="1"/>
  <c r="D31" i="2"/>
  <c r="E31" i="2" s="1"/>
  <c r="F31" i="2" s="1"/>
  <c r="J22" i="2"/>
  <c r="L7" i="2"/>
  <c r="D29" i="2"/>
  <c r="E29" i="2" s="1"/>
  <c r="F29" i="2" s="1"/>
  <c r="D28" i="2"/>
  <c r="E28" i="2" s="1"/>
  <c r="F28" i="2" s="1"/>
  <c r="D16" i="2"/>
  <c r="E16" i="2" s="1"/>
  <c r="F16" i="2" s="1"/>
  <c r="D22" i="2"/>
  <c r="E22" i="2" s="1"/>
  <c r="F22" i="2" s="1"/>
  <c r="D20" i="2"/>
  <c r="E20" i="2" s="1"/>
  <c r="F20" i="2" s="1"/>
  <c r="D18" i="2"/>
  <c r="E18" i="2" s="1"/>
  <c r="D21" i="2"/>
  <c r="E21" i="2" s="1"/>
  <c r="F21" i="2" s="1"/>
  <c r="D14" i="2"/>
  <c r="E14" i="2" s="1"/>
  <c r="C8" i="2"/>
  <c r="C15" i="2"/>
  <c r="C25" i="2"/>
  <c r="C12" i="2"/>
  <c r="C18" i="2"/>
  <c r="D13" i="2"/>
  <c r="E13" i="2" s="1"/>
  <c r="D23" i="2"/>
  <c r="E23" i="2" s="1"/>
  <c r="F23" i="2" s="1"/>
  <c r="D25" i="2"/>
  <c r="E25" i="2" s="1"/>
  <c r="D27" i="2"/>
  <c r="E27" i="2" s="1"/>
  <c r="F27" i="2" s="1"/>
  <c r="D11" i="2"/>
  <c r="E11" i="2" s="1"/>
  <c r="F11" i="2" s="1"/>
  <c r="D8" i="2"/>
  <c r="E8" i="2" s="1"/>
  <c r="D10" i="2"/>
  <c r="E10" i="2" s="1"/>
  <c r="D12" i="2"/>
  <c r="E12" i="2" s="1"/>
  <c r="D24" i="2"/>
  <c r="E24" i="2" s="1"/>
  <c r="F24" i="2" s="1"/>
  <c r="D26" i="2"/>
  <c r="E26" i="2" s="1"/>
  <c r="F26" i="2" s="1"/>
  <c r="D9" i="2"/>
  <c r="E9" i="2" s="1"/>
  <c r="F9" i="2" s="1"/>
  <c r="D15" i="2"/>
  <c r="E15" i="2" s="1"/>
  <c r="D17" i="2"/>
  <c r="E17" i="2" s="1"/>
  <c r="D19" i="2"/>
  <c r="E19" i="2" s="1"/>
  <c r="F19" i="2" s="1"/>
  <c r="Q9" i="1"/>
  <c r="Q8" i="1"/>
  <c r="Q17" i="1" s="1"/>
  <c r="S13" i="1"/>
  <c r="F10" i="2" l="1"/>
  <c r="F13" i="2"/>
  <c r="F17" i="2"/>
  <c r="F14" i="2"/>
  <c r="F18" i="2"/>
  <c r="F25" i="2"/>
  <c r="F8" i="2"/>
  <c r="F15" i="2"/>
  <c r="F12" i="2"/>
  <c r="R19" i="1"/>
  <c r="Q20" i="1" s="1"/>
  <c r="S20" i="1" s="1"/>
  <c r="T20" i="1" s="1"/>
  <c r="R15" i="1"/>
  <c r="T13" i="1"/>
  <c r="R14" i="1"/>
  <c r="R16" i="1"/>
  <c r="R18" i="1"/>
  <c r="Q19" i="1" s="1"/>
  <c r="R17" i="1"/>
  <c r="Q18" i="1" s="1"/>
  <c r="Q16" i="1"/>
  <c r="J7" i="2" l="1"/>
  <c r="L13" i="2" s="1"/>
  <c r="S19" i="1"/>
  <c r="S18" i="1" s="1"/>
  <c r="Q15" i="1"/>
  <c r="Q14" i="1"/>
  <c r="Q13" i="1"/>
  <c r="S17" i="1" l="1"/>
  <c r="S16" i="1" l="1"/>
  <c r="S15" i="1" l="1"/>
  <c r="S14" i="1" l="1"/>
  <c r="S22" i="1" l="1"/>
  <c r="T19" i="1" s="1"/>
  <c r="T14" i="1" l="1"/>
  <c r="T18" i="1"/>
  <c r="T17" i="1"/>
  <c r="T16" i="1"/>
  <c r="T15" i="1"/>
  <c r="T23" i="1" l="1"/>
</calcChain>
</file>

<file path=xl/sharedStrings.xml><?xml version="1.0" encoding="utf-8"?>
<sst xmlns="http://schemas.openxmlformats.org/spreadsheetml/2006/main" count="66" uniqueCount="63">
  <si>
    <t>Tabla de frecuencia</t>
  </si>
  <si>
    <t>Cantidad de decimales máximo que tienen los datos</t>
  </si>
  <si>
    <t>rango=</t>
  </si>
  <si>
    <t>minimo=</t>
  </si>
  <si>
    <t>maximo=</t>
  </si>
  <si>
    <t>n=</t>
  </si>
  <si>
    <t>LSIC=</t>
  </si>
  <si>
    <t>ni=</t>
  </si>
  <si>
    <t>aic=</t>
  </si>
  <si>
    <t>LIIC=</t>
  </si>
  <si>
    <t>Intervalos de clase</t>
  </si>
  <si>
    <t>f</t>
  </si>
  <si>
    <t>f*</t>
  </si>
  <si>
    <t>F</t>
  </si>
  <si>
    <t>t</t>
  </si>
  <si>
    <t>Media:</t>
  </si>
  <si>
    <t>Depende de su</t>
  </si>
  <si>
    <t>Desviación estándar:</t>
  </si>
  <si>
    <t>deseo y la variable</t>
  </si>
  <si>
    <t>que usa</t>
  </si>
  <si>
    <t>Intervalos</t>
  </si>
  <si>
    <t>Frecuencia</t>
  </si>
  <si>
    <t>Valor cualitativo</t>
  </si>
  <si>
    <t>M+3ds – o más</t>
  </si>
  <si>
    <t>o más</t>
  </si>
  <si>
    <t>M+2ds - m+3ds</t>
  </si>
  <si>
    <t>M+ds   - m+2ds</t>
  </si>
  <si>
    <t>M         - m+ds</t>
  </si>
  <si>
    <t>M         - m-ds</t>
  </si>
  <si>
    <t>m-ds   – m-2ds</t>
  </si>
  <si>
    <t>m-2ds  -  m-3ds</t>
  </si>
  <si>
    <t>m-3ds  -  o menos</t>
  </si>
  <si>
    <t>o menos</t>
  </si>
  <si>
    <t>propiedad 1</t>
  </si>
  <si>
    <t>=suma(f*)=1</t>
  </si>
  <si>
    <t>propiedad 2</t>
  </si>
  <si>
    <t>0 &lt;= f* &lt;= 1</t>
  </si>
  <si>
    <t>Tabla de Valoración (Baremo, Norma, …)</t>
  </si>
  <si>
    <t>Enrique Buendia Lozada BUAP2022</t>
  </si>
  <si>
    <t>Test Kolmogorov - Smirnov</t>
  </si>
  <si>
    <t>n</t>
  </si>
  <si>
    <t>media</t>
  </si>
  <si>
    <t>Ordenar la</t>
  </si>
  <si>
    <t>ds</t>
  </si>
  <si>
    <t>ds=varianza^(1/2)</t>
  </si>
  <si>
    <t>i</t>
  </si>
  <si>
    <t>Muestra</t>
  </si>
  <si>
    <t>Sn(Xi)</t>
  </si>
  <si>
    <t>Fo(Xi)</t>
  </si>
  <si>
    <t>|Sn(Xi)-Fo(Xi)|</t>
  </si>
  <si>
    <t>Xi</t>
  </si>
  <si>
    <t>=i/n</t>
  </si>
  <si>
    <t>=DISTR.NORM.ESTAND.N((Xi-media)/ds, VERDADERO)</t>
  </si>
  <si>
    <t>Dn=</t>
  </si>
  <si>
    <t>Valor crítico</t>
  </si>
  <si>
    <t>alfa=0.05</t>
  </si>
  <si>
    <t>Large</t>
  </si>
  <si>
    <t>values</t>
  </si>
  <si>
    <t>La muestra es NORMAL</t>
  </si>
  <si>
    <t>Enrique Ricardo Pablo Buendia Lozada       2022</t>
  </si>
  <si>
    <t>Probar si los datos provienen de una distribución normal</t>
  </si>
  <si>
    <t>De acuerdo a Kolmogorov . Smirnof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</si>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</sst>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rgb="FF993366"/>
      <name val="Calibri"/>
      <family val="2"/>
    </font>
    <font>
      <sz val="11"/>
      <color theme="0" tint="-4.9989318521683403E-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rgb="FFC00000"/>
      <name val="Calibri"/>
      <family val="2"/>
      <scheme val="minor"/>
    </font>
    <font>
      <sz val="20"/>
      <color theme="0" tint="-4.9989318521683403E-2"/>
      <name val="AR DESTINE"/>
    </font>
    <font>
      <b/>
      <sz val="16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 tint="0.59999389629810485"/>
      </left>
      <right style="medium">
        <color theme="7" tint="0.59999389629810485"/>
      </right>
      <top style="medium">
        <color theme="7" tint="0.59999389629810485"/>
      </top>
      <bottom/>
      <diagonal/>
    </border>
    <border>
      <left style="medium">
        <color theme="7" tint="0.59999389629810485"/>
      </left>
      <right style="medium">
        <color theme="7" tint="0.59999389629810485"/>
      </right>
      <top/>
      <bottom/>
      <diagonal/>
    </border>
    <border>
      <left style="medium">
        <color theme="7" tint="0.59999389629810485"/>
      </left>
      <right style="medium">
        <color theme="7" tint="0.59999389629810485"/>
      </right>
      <top/>
      <bottom style="medium">
        <color theme="7" tint="0.59999389629810485"/>
      </bottom>
      <diagonal/>
    </border>
    <border>
      <left style="thin">
        <color theme="7" tint="0.59999389629810485"/>
      </left>
      <right style="thin">
        <color indexed="64"/>
      </right>
      <top style="thin">
        <color theme="7" tint="0.59999389629810485"/>
      </top>
      <bottom/>
      <diagonal/>
    </border>
    <border>
      <left style="thin">
        <color indexed="64"/>
      </left>
      <right style="thin">
        <color theme="7" tint="0.59999389629810485"/>
      </right>
      <top style="thin">
        <color theme="7" tint="0.59999389629810485"/>
      </top>
      <bottom/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medium">
        <color theme="7" tint="0.59999389629810485"/>
      </left>
      <right/>
      <top style="medium">
        <color theme="7" tint="0.59999389629810485"/>
      </top>
      <bottom/>
      <diagonal/>
    </border>
    <border>
      <left/>
      <right/>
      <top style="medium">
        <color theme="7" tint="0.59999389629810485"/>
      </top>
      <bottom/>
      <diagonal/>
    </border>
    <border>
      <left style="thin">
        <color theme="7" tint="0.59999389629810485"/>
      </left>
      <right style="thin">
        <color theme="7" tint="0.59999389629810485"/>
      </right>
      <top style="medium">
        <color theme="7" tint="0.59999389629810485"/>
      </top>
      <bottom/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/>
      <diagonal/>
    </border>
    <border>
      <left style="medium">
        <color theme="7" tint="0.59999389629810485"/>
      </left>
      <right/>
      <top/>
      <bottom/>
      <diagonal/>
    </border>
    <border>
      <left/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7" tint="0.59999389629810485"/>
      </left>
      <right style="thin">
        <color theme="7" tint="0.59999389629810485"/>
      </right>
      <top/>
      <bottom/>
      <diagonal/>
    </border>
    <border>
      <left style="thin">
        <color theme="7" tint="0.59999389629810485"/>
      </left>
      <right style="thin">
        <color theme="7" tint="0.59999389629810485"/>
      </right>
      <top/>
      <bottom style="thin">
        <color theme="7" tint="0.59999389629810485"/>
      </bottom>
      <diagonal/>
    </border>
    <border>
      <left/>
      <right/>
      <top/>
      <bottom style="thin">
        <color theme="7" tint="0.59999389629810485"/>
      </bottom>
      <diagonal/>
    </border>
    <border>
      <left style="medium">
        <color theme="7" tint="0.59999389629810485"/>
      </left>
      <right/>
      <top/>
      <bottom style="medium">
        <color theme="7" tint="0.59999389629810485"/>
      </bottom>
      <diagonal/>
    </border>
    <border>
      <left/>
      <right/>
      <top/>
      <bottom style="medium">
        <color theme="7" tint="0.59999389629810485"/>
      </bottom>
      <diagonal/>
    </border>
    <border>
      <left style="thin">
        <color theme="7" tint="0.59999389629810485"/>
      </left>
      <right style="thin">
        <color theme="7" tint="0.59999389629810485"/>
      </right>
      <top/>
      <bottom style="medium">
        <color theme="7" tint="0.5999938962981048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/>
    <xf numFmtId="0" fontId="3" fillId="3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5" fillId="4" borderId="0" xfId="0" applyFont="1" applyFill="1"/>
    <xf numFmtId="0" fontId="6" fillId="2" borderId="0" xfId="0" applyFont="1" applyFill="1"/>
    <xf numFmtId="0" fontId="5" fillId="5" borderId="2" xfId="0" applyFont="1" applyFill="1" applyBorder="1"/>
    <xf numFmtId="0" fontId="0" fillId="2" borderId="0" xfId="0" applyFill="1"/>
    <xf numFmtId="0" fontId="5" fillId="5" borderId="3" xfId="0" applyFont="1" applyFill="1" applyBorder="1"/>
    <xf numFmtId="0" fontId="5" fillId="5" borderId="4" xfId="0" applyFont="1" applyFill="1" applyBorder="1"/>
    <xf numFmtId="0" fontId="7" fillId="6" borderId="7" xfId="0" applyFont="1" applyFill="1" applyBorder="1"/>
    <xf numFmtId="0" fontId="8" fillId="4" borderId="8" xfId="0" applyFont="1" applyFill="1" applyBorder="1" applyAlignment="1">
      <alignment vertical="center"/>
    </xf>
    <xf numFmtId="0" fontId="8" fillId="4" borderId="9" xfId="0" applyFont="1" applyFill="1" applyBorder="1"/>
    <xf numFmtId="0" fontId="8" fillId="4" borderId="10" xfId="0" applyFont="1" applyFill="1" applyBorder="1"/>
    <xf numFmtId="0" fontId="9" fillId="7" borderId="11" xfId="0" applyFont="1" applyFill="1" applyBorder="1" applyAlignment="1">
      <alignment horizontal="center"/>
    </xf>
    <xf numFmtId="0" fontId="6" fillId="2" borderId="7" xfId="0" applyFont="1" applyFill="1" applyBorder="1"/>
    <xf numFmtId="0" fontId="6" fillId="5" borderId="7" xfId="0" applyFont="1" applyFill="1" applyBorder="1"/>
    <xf numFmtId="0" fontId="8" fillId="4" borderId="12" xfId="0" applyFont="1" applyFill="1" applyBorder="1" applyAlignment="1">
      <alignment vertical="center"/>
    </xf>
    <xf numFmtId="0" fontId="8" fillId="4" borderId="0" xfId="0" applyFont="1" applyFill="1"/>
    <xf numFmtId="0" fontId="8" fillId="4" borderId="7" xfId="0" applyFont="1" applyFill="1" applyBorder="1"/>
    <xf numFmtId="0" fontId="8" fillId="4" borderId="13" xfId="0" applyFont="1" applyFill="1" applyBorder="1"/>
    <xf numFmtId="0" fontId="9" fillId="7" borderId="1" xfId="0" applyFont="1" applyFill="1" applyBorder="1" applyAlignment="1">
      <alignment horizontal="center"/>
    </xf>
    <xf numFmtId="0" fontId="6" fillId="2" borderId="14" xfId="0" applyFont="1" applyFill="1" applyBorder="1"/>
    <xf numFmtId="0" fontId="9" fillId="7" borderId="15" xfId="0" applyFont="1" applyFill="1" applyBorder="1" applyAlignment="1">
      <alignment horizontal="center"/>
    </xf>
    <xf numFmtId="0" fontId="8" fillId="4" borderId="16" xfId="0" applyFont="1" applyFill="1" applyBorder="1"/>
    <xf numFmtId="0" fontId="8" fillId="4" borderId="17" xfId="0" applyFont="1" applyFill="1" applyBorder="1"/>
    <xf numFmtId="0" fontId="8" fillId="4" borderId="18" xfId="0" applyFont="1" applyFill="1" applyBorder="1"/>
    <xf numFmtId="0" fontId="8" fillId="4" borderId="19" xfId="0" applyFont="1" applyFill="1" applyBorder="1"/>
    <xf numFmtId="0" fontId="8" fillId="4" borderId="20" xfId="0" applyFont="1" applyFill="1" applyBorder="1"/>
    <xf numFmtId="0" fontId="9" fillId="7" borderId="0" xfId="0" applyFont="1" applyFill="1" applyAlignment="1">
      <alignment horizontal="center"/>
    </xf>
    <xf numFmtId="0" fontId="9" fillId="7" borderId="0" xfId="0" applyFont="1" applyFill="1" applyAlignment="1">
      <alignment horizontal="right"/>
    </xf>
    <xf numFmtId="0" fontId="6" fillId="2" borderId="0" xfId="0" quotePrefix="1" applyFont="1" applyFill="1"/>
    <xf numFmtId="0" fontId="1" fillId="8" borderId="0" xfId="0" applyFont="1" applyFill="1"/>
    <xf numFmtId="0" fontId="1" fillId="8" borderId="0" xfId="0" applyFont="1" applyFill="1" applyAlignment="1">
      <alignment horizontal="center"/>
    </xf>
    <xf numFmtId="0" fontId="0" fillId="10" borderId="1" xfId="0" applyFill="1" applyBorder="1"/>
    <xf numFmtId="0" fontId="11" fillId="9" borderId="1" xfId="0" applyFont="1" applyFill="1" applyBorder="1" applyAlignment="1">
      <alignment horizontal="center"/>
    </xf>
    <xf numFmtId="0" fontId="0" fillId="10" borderId="23" xfId="0" applyFill="1" applyBorder="1"/>
    <xf numFmtId="0" fontId="11" fillId="9" borderId="23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0" fillId="12" borderId="24" xfId="0" applyFill="1" applyBorder="1"/>
    <xf numFmtId="0" fontId="12" fillId="11" borderId="27" xfId="0" applyFont="1" applyFill="1" applyBorder="1" applyAlignment="1">
      <alignment horizontal="center"/>
    </xf>
    <xf numFmtId="0" fontId="0" fillId="12" borderId="27" xfId="0" quotePrefix="1" applyFill="1" applyBorder="1"/>
    <xf numFmtId="0" fontId="0" fillId="10" borderId="21" xfId="0" applyFill="1" applyBorder="1"/>
    <xf numFmtId="0" fontId="0" fillId="10" borderId="22" xfId="0" applyFill="1" applyBorder="1"/>
    <xf numFmtId="0" fontId="0" fillId="14" borderId="21" xfId="0" applyFill="1" applyBorder="1"/>
    <xf numFmtId="0" fontId="0" fillId="14" borderId="22" xfId="0" applyFill="1" applyBorder="1"/>
    <xf numFmtId="0" fontId="8" fillId="9" borderId="0" xfId="0" applyFont="1" applyFill="1"/>
    <xf numFmtId="0" fontId="0" fillId="7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9" borderId="32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10" fillId="9" borderId="0" xfId="0" applyFont="1" applyFill="1" applyAlignment="1">
      <alignment horizontal="left"/>
    </xf>
    <xf numFmtId="0" fontId="0" fillId="0" borderId="23" xfId="0" applyBorder="1" applyAlignment="1">
      <alignment horizontal="center"/>
    </xf>
    <xf numFmtId="0" fontId="0" fillId="13" borderId="2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3" borderId="28" xfId="0" quotePrefix="1" applyFill="1" applyBorder="1" applyAlignment="1">
      <alignment horizontal="center" wrapText="1"/>
    </xf>
    <xf numFmtId="0" fontId="0" fillId="13" borderId="29" xfId="0" quotePrefix="1" applyFill="1" applyBorder="1" applyAlignment="1">
      <alignment horizontal="center" wrapText="1"/>
    </xf>
    <xf numFmtId="0" fontId="11" fillId="9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5" borderId="30" xfId="0" applyFont="1" applyFill="1" applyBorder="1" applyAlignment="1">
      <alignment horizontal="center" vertical="center"/>
    </xf>
    <xf numFmtId="0" fontId="8" fillId="9" borderId="31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9" tint="0.59996337778862885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</xdr:row>
          <xdr:rowOff>28575</xdr:rowOff>
        </xdr:from>
        <xdr:to>
          <xdr:col>10</xdr:col>
          <xdr:colOff>590550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993366"/>
                  </a:solidFill>
                  <a:latin typeface="Calibri"/>
                  <a:ea typeface="Calibri"/>
                  <a:cs typeface="Calibri"/>
                </a:rPr>
                <a:t>Crear tabla de frecuencia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FE1D-122A-477F-97CA-F4CE791EAB66}">
  <sheetPr codeName="Hoja1"/>
  <dimension ref="A1:V24"/>
  <sheetViews>
    <sheetView tabSelected="1" workbookViewId="0">
      <selection activeCell="H25" sqref="H25"/>
    </sheetView>
  </sheetViews>
  <sheetFormatPr baseColWidth="10" defaultRowHeight="15"/>
  <cols>
    <col min="1" max="1" width="22.42578125" style="2" customWidth="1"/>
    <col min="2" max="4" width="11.42578125" style="1"/>
    <col min="5" max="13" width="11.42578125" style="3"/>
    <col min="14" max="20" width="11.42578125" style="1"/>
    <col min="21" max="21" width="22.28515625" style="1" customWidth="1"/>
    <col min="22" max="16384" width="11.42578125" style="1"/>
  </cols>
  <sheetData>
    <row r="1" spans="1:22">
      <c r="A1" s="2">
        <v>5</v>
      </c>
      <c r="O1" s="61" t="s">
        <v>58</v>
      </c>
      <c r="P1" s="61"/>
      <c r="Q1" s="61"/>
      <c r="R1" s="61"/>
      <c r="S1" s="61"/>
      <c r="T1" s="50" t="s">
        <v>61</v>
      </c>
      <c r="U1" s="51"/>
    </row>
    <row r="2" spans="1:22">
      <c r="A2" s="2">
        <v>5</v>
      </c>
      <c r="C2" s="32" t="s">
        <v>0</v>
      </c>
      <c r="D2" s="32"/>
      <c r="E2" s="33"/>
      <c r="F2" s="33"/>
      <c r="G2" s="33"/>
      <c r="O2" s="61"/>
      <c r="P2" s="61"/>
      <c r="Q2" s="61"/>
      <c r="R2" s="61"/>
      <c r="S2" s="61"/>
      <c r="T2" s="52"/>
      <c r="U2" s="53"/>
    </row>
    <row r="3" spans="1:22">
      <c r="A3" s="2">
        <v>6</v>
      </c>
      <c r="C3" s="32" t="s">
        <v>38</v>
      </c>
      <c r="D3" s="32"/>
      <c r="E3" s="33"/>
      <c r="F3" s="33"/>
      <c r="G3" s="33"/>
      <c r="O3" s="61"/>
      <c r="P3" s="61"/>
      <c r="Q3" s="61"/>
      <c r="R3" s="61"/>
      <c r="S3" s="61"/>
      <c r="T3" s="54"/>
      <c r="U3" s="55"/>
    </row>
    <row r="4" spans="1:22">
      <c r="A4" s="2">
        <v>6</v>
      </c>
      <c r="O4" s="32"/>
      <c r="P4" s="32"/>
      <c r="Q4" s="32"/>
      <c r="R4" s="32"/>
      <c r="S4" s="32"/>
    </row>
    <row r="5" spans="1:22">
      <c r="A5" s="2">
        <v>7</v>
      </c>
      <c r="C5" s="56" t="s">
        <v>1</v>
      </c>
      <c r="D5" s="56"/>
      <c r="E5" s="56"/>
      <c r="F5" s="56"/>
      <c r="G5" s="56"/>
      <c r="O5" s="32" t="s">
        <v>37</v>
      </c>
      <c r="P5" s="32"/>
      <c r="Q5" s="32"/>
      <c r="R5" s="32"/>
      <c r="S5" s="32"/>
      <c r="V5" s="1" t="s">
        <v>62</v>
      </c>
    </row>
    <row r="6" spans="1:22">
      <c r="A6" s="2">
        <v>7</v>
      </c>
      <c r="C6" s="57">
        <v>0</v>
      </c>
      <c r="D6" s="57"/>
      <c r="E6" s="57"/>
      <c r="F6" s="57"/>
      <c r="G6" s="57"/>
      <c r="O6" s="32"/>
      <c r="P6" s="32"/>
      <c r="Q6" s="32"/>
      <c r="R6" s="32"/>
      <c r="S6" s="32"/>
    </row>
    <row r="7" spans="1:22" ht="15.75" thickBot="1">
      <c r="A7" s="2">
        <v>8</v>
      </c>
    </row>
    <row r="8" spans="1:22">
      <c r="A8" s="2">
        <v>7</v>
      </c>
      <c r="O8" s="4" t="s">
        <v>15</v>
      </c>
      <c r="P8" s="4"/>
      <c r="Q8" s="4">
        <f>AVERAGE(A1:A200)</f>
        <v>6.1538461538461542</v>
      </c>
      <c r="R8" s="4"/>
      <c r="S8" s="4"/>
      <c r="T8" s="5"/>
      <c r="U8" s="6" t="s">
        <v>16</v>
      </c>
      <c r="V8" s="7"/>
    </row>
    <row r="9" spans="1:22">
      <c r="A9" s="2">
        <v>7</v>
      </c>
      <c r="E9" s="58" t="s">
        <v>10</v>
      </c>
      <c r="F9" s="58"/>
      <c r="G9" s="3" t="s">
        <v>14</v>
      </c>
      <c r="H9" s="3" t="s">
        <v>11</v>
      </c>
      <c r="I9" s="3" t="s">
        <v>12</v>
      </c>
      <c r="J9" s="3" t="s">
        <v>13</v>
      </c>
      <c r="O9" s="4" t="s">
        <v>17</v>
      </c>
      <c r="P9" s="4"/>
      <c r="Q9" s="4">
        <f>_xlfn.STDEV.P(A1:A200)</f>
        <v>0.94837138507215024</v>
      </c>
      <c r="R9" s="4"/>
      <c r="S9" s="4"/>
      <c r="T9" s="5"/>
      <c r="U9" s="8" t="s">
        <v>18</v>
      </c>
      <c r="V9" s="7"/>
    </row>
    <row r="10" spans="1:22" ht="15.75" thickBot="1">
      <c r="A10" s="2">
        <v>6</v>
      </c>
      <c r="B10" s="1" t="s">
        <v>2</v>
      </c>
      <c r="C10" s="1">
        <v>3</v>
      </c>
      <c r="E10" s="3">
        <v>4.5</v>
      </c>
      <c r="F10" s="3">
        <v>5.3</v>
      </c>
      <c r="G10" s="3">
        <v>4.9000000000000004</v>
      </c>
      <c r="H10" s="3">
        <v>4</v>
      </c>
      <c r="I10" s="3">
        <v>0.30769230769230771</v>
      </c>
      <c r="J10" s="3">
        <v>0.30769230769230771</v>
      </c>
      <c r="O10" s="4"/>
      <c r="P10" s="4"/>
      <c r="Q10" s="4"/>
      <c r="R10" s="4"/>
      <c r="S10" s="4"/>
      <c r="T10" s="5"/>
      <c r="U10" s="9" t="s">
        <v>19</v>
      </c>
      <c r="V10" s="7"/>
    </row>
    <row r="11" spans="1:22">
      <c r="A11" s="2">
        <v>6</v>
      </c>
      <c r="B11" s="1" t="s">
        <v>3</v>
      </c>
      <c r="C11" s="1">
        <v>5</v>
      </c>
      <c r="E11" s="3">
        <v>5.3</v>
      </c>
      <c r="F11" s="3">
        <v>6.1</v>
      </c>
      <c r="G11" s="3">
        <v>5.6999999999999993</v>
      </c>
      <c r="H11" s="3">
        <v>4</v>
      </c>
      <c r="I11" s="3">
        <v>0.30769230769230771</v>
      </c>
      <c r="J11" s="3">
        <v>0.61538461538461542</v>
      </c>
      <c r="O11" s="5"/>
      <c r="P11" s="5"/>
      <c r="Q11" s="5"/>
      <c r="R11" s="5"/>
      <c r="S11" s="5"/>
      <c r="T11" s="5"/>
      <c r="U11" s="5"/>
      <c r="V11" s="7"/>
    </row>
    <row r="12" spans="1:22" ht="15.75" thickBot="1">
      <c r="A12" s="2">
        <v>5</v>
      </c>
      <c r="B12" s="1" t="s">
        <v>4</v>
      </c>
      <c r="C12" s="1">
        <v>8</v>
      </c>
      <c r="E12" s="3">
        <v>6.1</v>
      </c>
      <c r="F12" s="3">
        <v>6.8999999999999995</v>
      </c>
      <c r="G12" s="3">
        <v>6.5</v>
      </c>
      <c r="H12" s="3">
        <v>0</v>
      </c>
      <c r="I12" s="3">
        <v>0</v>
      </c>
      <c r="J12" s="3">
        <v>0.61538461538461542</v>
      </c>
      <c r="O12" s="5"/>
      <c r="P12" s="5"/>
      <c r="Q12" s="59" t="s">
        <v>20</v>
      </c>
      <c r="R12" s="60"/>
      <c r="S12" s="10" t="s">
        <v>21</v>
      </c>
      <c r="T12" s="10" t="s">
        <v>12</v>
      </c>
      <c r="U12" s="10" t="s">
        <v>22</v>
      </c>
      <c r="V12" s="7"/>
    </row>
    <row r="13" spans="1:22">
      <c r="A13" s="2">
        <v>5</v>
      </c>
      <c r="B13" s="1" t="s">
        <v>5</v>
      </c>
      <c r="C13" s="1">
        <v>13</v>
      </c>
      <c r="E13" s="3">
        <v>6.8999999999999995</v>
      </c>
      <c r="F13" s="3">
        <v>7.6999999999999993</v>
      </c>
      <c r="G13" s="3">
        <v>7.2999999999999989</v>
      </c>
      <c r="H13" s="3">
        <v>4</v>
      </c>
      <c r="I13" s="3">
        <v>0.30769230769230771</v>
      </c>
      <c r="J13" s="3">
        <v>0.92307692307692313</v>
      </c>
      <c r="O13" s="11" t="s">
        <v>23</v>
      </c>
      <c r="P13" s="12"/>
      <c r="Q13" s="13">
        <f>R14</f>
        <v>8.9989603090626051</v>
      </c>
      <c r="R13" s="12" t="s">
        <v>24</v>
      </c>
      <c r="S13" s="14">
        <f>COUNTIF(A1:A200,"&gt;E12")</f>
        <v>0</v>
      </c>
      <c r="T13" s="15">
        <f t="shared" ref="T13:T20" si="0">IF(S13&gt;0,S13/$S$22,0)</f>
        <v>0</v>
      </c>
      <c r="U13" s="16"/>
      <c r="V13" s="7"/>
    </row>
    <row r="14" spans="1:22">
      <c r="B14" s="1" t="s">
        <v>9</v>
      </c>
      <c r="C14" s="1">
        <v>4.5</v>
      </c>
      <c r="E14" s="3">
        <v>7.6999999999999993</v>
      </c>
      <c r="F14" s="3">
        <v>8.5</v>
      </c>
      <c r="G14" s="3">
        <v>8.1</v>
      </c>
      <c r="H14" s="3">
        <v>1</v>
      </c>
      <c r="I14" s="3">
        <v>7.6923076923076927E-2</v>
      </c>
      <c r="J14" s="3">
        <v>1</v>
      </c>
      <c r="O14" s="17" t="s">
        <v>25</v>
      </c>
      <c r="P14" s="18"/>
      <c r="Q14" s="19">
        <f>R15</f>
        <v>8.0505889239904551</v>
      </c>
      <c r="R14" s="20">
        <f>$Q$8+3*$Q$9</f>
        <v>8.9989603090626051</v>
      </c>
      <c r="S14" s="21">
        <f>COUNTIF(A1:A200,"&lt;"&amp;R14)-SUM(S15:S20)</f>
        <v>0</v>
      </c>
      <c r="T14" s="22">
        <f t="shared" si="0"/>
        <v>0</v>
      </c>
      <c r="U14" s="16"/>
      <c r="V14" s="7"/>
    </row>
    <row r="15" spans="1:22">
      <c r="B15" s="1" t="s">
        <v>6</v>
      </c>
      <c r="C15" s="1">
        <v>8.5</v>
      </c>
      <c r="O15" s="17" t="s">
        <v>26</v>
      </c>
      <c r="P15" s="18"/>
      <c r="Q15" s="19">
        <f>R16</f>
        <v>7.1022175389183042</v>
      </c>
      <c r="R15" s="20">
        <f>$Q$8+2*$Q$9</f>
        <v>8.0505889239904551</v>
      </c>
      <c r="S15" s="23">
        <f>COUNTIF(A1:A200,"&lt;"&amp;R15)-SUM(S16:S20)</f>
        <v>1</v>
      </c>
      <c r="T15" s="15">
        <f t="shared" si="0"/>
        <v>7.6923076923076927E-2</v>
      </c>
      <c r="U15" s="16"/>
      <c r="V15" s="7"/>
    </row>
    <row r="16" spans="1:22">
      <c r="B16" s="1" t="s">
        <v>7</v>
      </c>
      <c r="C16" s="1">
        <v>5</v>
      </c>
      <c r="O16" s="17" t="s">
        <v>27</v>
      </c>
      <c r="P16" s="18"/>
      <c r="Q16" s="19">
        <f>$Q$8</f>
        <v>6.1538461538461542</v>
      </c>
      <c r="R16" s="20">
        <f>$Q$8+$Q$9</f>
        <v>7.1022175389183042</v>
      </c>
      <c r="S16" s="21">
        <f>COUNTIF(A1:A200,"&lt;"&amp;R16)-SUM(S17:S20)</f>
        <v>4</v>
      </c>
      <c r="T16" s="22">
        <f t="shared" si="0"/>
        <v>0.30769230769230771</v>
      </c>
      <c r="U16" s="16"/>
      <c r="V16" s="7"/>
    </row>
    <row r="17" spans="2:22">
      <c r="B17" s="1" t="s">
        <v>8</v>
      </c>
      <c r="C17" s="1">
        <v>0.8</v>
      </c>
      <c r="O17" s="17" t="s">
        <v>28</v>
      </c>
      <c r="P17" s="18"/>
      <c r="Q17" s="24">
        <f>$Q$8</f>
        <v>6.1538461538461542</v>
      </c>
      <c r="R17" s="25">
        <f>$Q$8-$Q$9</f>
        <v>5.2054747687740042</v>
      </c>
      <c r="S17" s="23">
        <f>COUNTIF(A1:A200,"&lt;"&amp;Q17)-SUM(S18:S20)</f>
        <v>4</v>
      </c>
      <c r="T17" s="15">
        <f t="shared" si="0"/>
        <v>0.30769230769230771</v>
      </c>
      <c r="U17" s="16"/>
      <c r="V17" s="7"/>
    </row>
    <row r="18" spans="2:22">
      <c r="O18" s="17" t="s">
        <v>29</v>
      </c>
      <c r="P18" s="18"/>
      <c r="Q18" s="19">
        <f>R17</f>
        <v>5.2054747687740042</v>
      </c>
      <c r="R18" s="20">
        <f>$Q$8-2*$Q$9</f>
        <v>4.2571033837018533</v>
      </c>
      <c r="S18" s="21">
        <f>COUNTIF(A1:A200,"&lt;"&amp;Q18)-SUM(S19:S20)</f>
        <v>4</v>
      </c>
      <c r="T18" s="22">
        <f t="shared" si="0"/>
        <v>0.30769230769230771</v>
      </c>
      <c r="U18" s="16"/>
      <c r="V18" s="7"/>
    </row>
    <row r="19" spans="2:22">
      <c r="O19" s="17" t="s">
        <v>30</v>
      </c>
      <c r="P19" s="18"/>
      <c r="Q19" s="24">
        <f t="shared" ref="Q19:Q20" si="1">R18</f>
        <v>4.2571033837018533</v>
      </c>
      <c r="R19" s="25">
        <f>$Q$8-3*$Q$9</f>
        <v>3.3087319986297032</v>
      </c>
      <c r="S19" s="23">
        <f>COUNTIF(A1:A200,"&lt;"&amp;Q19)-S20</f>
        <v>0</v>
      </c>
      <c r="T19" s="15">
        <f t="shared" si="0"/>
        <v>0</v>
      </c>
      <c r="U19" s="16"/>
      <c r="V19" s="7"/>
    </row>
    <row r="20" spans="2:22" ht="15.75" thickBot="1">
      <c r="O20" s="26" t="s">
        <v>31</v>
      </c>
      <c r="P20" s="27"/>
      <c r="Q20" s="28">
        <f t="shared" si="1"/>
        <v>3.3087319986297032</v>
      </c>
      <c r="R20" s="27" t="s">
        <v>32</v>
      </c>
      <c r="S20" s="21">
        <f>COUNTIF(A1:A200,"&lt;"&amp;Q20)</f>
        <v>0</v>
      </c>
      <c r="T20" s="22">
        <f t="shared" si="0"/>
        <v>0</v>
      </c>
      <c r="U20" s="16"/>
      <c r="V20" s="7"/>
    </row>
    <row r="21" spans="2:22">
      <c r="O21" s="5"/>
      <c r="P21" s="5"/>
      <c r="Q21" s="5"/>
      <c r="R21" s="5"/>
      <c r="S21" s="29"/>
      <c r="T21" s="5"/>
      <c r="U21" s="5"/>
      <c r="V21" s="7"/>
    </row>
    <row r="22" spans="2:22">
      <c r="O22" s="5"/>
      <c r="P22" s="5"/>
      <c r="Q22" s="5"/>
      <c r="R22" s="30" t="s">
        <v>5</v>
      </c>
      <c r="S22" s="29">
        <f>SUM(S13:S20)</f>
        <v>13</v>
      </c>
      <c r="T22" s="5"/>
      <c r="U22" s="5"/>
      <c r="V22" s="7"/>
    </row>
    <row r="23" spans="2:22">
      <c r="O23" s="5"/>
      <c r="P23" s="5"/>
      <c r="Q23" s="5"/>
      <c r="R23" s="5"/>
      <c r="S23" s="5" t="s">
        <v>33</v>
      </c>
      <c r="T23" s="5">
        <f>SUM(T13:T20)</f>
        <v>1</v>
      </c>
      <c r="U23" s="31" t="s">
        <v>34</v>
      </c>
      <c r="V23" s="7"/>
    </row>
    <row r="24" spans="2:22">
      <c r="O24" s="5"/>
      <c r="P24" s="5"/>
      <c r="Q24" s="5"/>
      <c r="R24" s="5"/>
      <c r="S24" s="5" t="s">
        <v>35</v>
      </c>
      <c r="T24" s="5"/>
      <c r="U24" s="5" t="s">
        <v>36</v>
      </c>
      <c r="V24" s="7"/>
    </row>
  </sheetData>
  <mergeCells count="6">
    <mergeCell ref="T1:U3"/>
    <mergeCell ref="C5:G5"/>
    <mergeCell ref="C6:G6"/>
    <mergeCell ref="E9:F9"/>
    <mergeCell ref="Q12:R12"/>
    <mergeCell ref="O1:S3"/>
  </mergeCells>
  <conditionalFormatting sqref="T13:T20">
    <cfRule type="cellIs" dxfId="2" priority="2" operator="lessThan">
      <formula>1</formula>
    </cfRule>
    <cfRule type="cellIs" dxfId="1" priority="3" operator="greaterThanOrEqual">
      <formula>1</formula>
    </cfRule>
  </conditionalFormatting>
  <conditionalFormatting sqref="T24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7</xdr:col>
                    <xdr:colOff>704850</xdr:colOff>
                    <xdr:row>2</xdr:row>
                    <xdr:rowOff>28575</xdr:rowOff>
                  </from>
                  <to>
                    <xdr:col>10</xdr:col>
                    <xdr:colOff>590550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0196-80A5-4CFC-AF62-5509E9DEC6DF}">
  <sheetPr codeName="Hoja2"/>
  <dimension ref="A2:R200"/>
  <sheetViews>
    <sheetView workbookViewId="0">
      <selection activeCell="J7" sqref="J7"/>
    </sheetView>
  </sheetViews>
  <sheetFormatPr baseColWidth="10" defaultRowHeight="15"/>
  <cols>
    <col min="10" max="10" width="11.85546875" bestFit="1" customWidth="1"/>
  </cols>
  <sheetData>
    <row r="2" spans="1:18" ht="25.5">
      <c r="B2" s="63" t="s">
        <v>39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spans="1:18" ht="21">
      <c r="D3" s="34" t="s">
        <v>40</v>
      </c>
      <c r="E3" s="35">
        <f>COUNT(B8:B200)</f>
        <v>13</v>
      </c>
      <c r="I3" s="74" t="s">
        <v>59</v>
      </c>
      <c r="J3" s="74"/>
      <c r="K3" s="74"/>
      <c r="L3" s="74"/>
      <c r="M3" s="74"/>
      <c r="N3" s="74"/>
      <c r="O3" s="74"/>
      <c r="P3" s="74"/>
      <c r="Q3" s="74"/>
      <c r="R3" s="74"/>
    </row>
    <row r="4" spans="1:18" ht="21.75" thickBot="1">
      <c r="D4" s="34" t="s">
        <v>41</v>
      </c>
      <c r="E4" s="35">
        <f>AVERAGE(B8:B200)</f>
        <v>6.1538461538461542</v>
      </c>
      <c r="I4" s="75"/>
      <c r="J4" s="75"/>
      <c r="K4" s="75"/>
      <c r="L4" s="75"/>
      <c r="M4" s="75"/>
      <c r="N4" s="75"/>
      <c r="O4" s="75"/>
      <c r="P4" s="75"/>
      <c r="Q4" s="75"/>
      <c r="R4" s="75"/>
    </row>
    <row r="5" spans="1:18" ht="21.75" thickBot="1">
      <c r="B5" t="s">
        <v>42</v>
      </c>
      <c r="D5" s="36" t="s">
        <v>43</v>
      </c>
      <c r="E5" s="37">
        <f>_xlfn.STDEV.P(B8:B200)</f>
        <v>0.94837138507215024</v>
      </c>
      <c r="F5" s="64" t="s">
        <v>44</v>
      </c>
      <c r="G5" s="64"/>
      <c r="I5" s="76" t="s">
        <v>60</v>
      </c>
      <c r="J5" s="76"/>
      <c r="K5" s="76"/>
      <c r="L5" s="76"/>
      <c r="M5" s="76"/>
      <c r="N5" s="76"/>
      <c r="O5" s="76"/>
      <c r="P5" s="76"/>
    </row>
    <row r="6" spans="1:18" ht="19.5" thickBot="1">
      <c r="A6" t="s">
        <v>45</v>
      </c>
      <c r="B6" s="38" t="s">
        <v>46</v>
      </c>
      <c r="C6" s="39" t="s">
        <v>47</v>
      </c>
      <c r="D6" s="65" t="s">
        <v>48</v>
      </c>
      <c r="E6" s="66"/>
      <c r="F6" s="67" t="s">
        <v>49</v>
      </c>
      <c r="G6" s="68"/>
    </row>
    <row r="7" spans="1:18" ht="45" customHeight="1" thickBot="1">
      <c r="B7" s="40" t="s">
        <v>50</v>
      </c>
      <c r="C7" s="41" t="s">
        <v>51</v>
      </c>
      <c r="D7" s="71" t="s">
        <v>52</v>
      </c>
      <c r="E7" s="72"/>
      <c r="F7" s="69"/>
      <c r="G7" s="70"/>
      <c r="I7" s="42" t="s">
        <v>53</v>
      </c>
      <c r="J7" s="43">
        <f>IFERROR(MAX(F8:G200),100000)</f>
        <v>0.19582563101750114</v>
      </c>
      <c r="K7" s="44" t="s">
        <v>54</v>
      </c>
      <c r="L7" s="45">
        <f>IF($E$3&gt;50,$J$22,VLOOKUP($E$3,I10:J19,2))</f>
        <v>0.41</v>
      </c>
    </row>
    <row r="8" spans="1:18">
      <c r="A8">
        <v>1</v>
      </c>
      <c r="B8" s="46">
        <v>5</v>
      </c>
      <c r="C8" s="47">
        <f>IF(B8&lt;&gt;"",A8/$E$3,"")</f>
        <v>7.6923076923076927E-2</v>
      </c>
      <c r="D8" s="47">
        <f>IF(B8&lt;&gt;"",(B8-$E$4)/$E$5,"")</f>
        <v>-1.2166606584807194</v>
      </c>
      <c r="E8" s="47">
        <f>IF(B8&lt;&gt;"",_xlfn.NORM.S.DIST(D8,TRUE),"")</f>
        <v>0.11186667667480657</v>
      </c>
      <c r="F8" s="62">
        <f>IF(B8&lt;&gt;"",ABS(C8-E8),"")</f>
        <v>3.4943599751729643E-2</v>
      </c>
      <c r="G8" s="62"/>
    </row>
    <row r="9" spans="1:18">
      <c r="A9">
        <v>2</v>
      </c>
      <c r="B9" s="46">
        <v>5</v>
      </c>
      <c r="C9" s="47">
        <f t="shared" ref="C9:C72" si="0">IF(B9&lt;&gt;"",A9/$E$3,"")</f>
        <v>0.15384615384615385</v>
      </c>
      <c r="D9" s="47">
        <f t="shared" ref="D9:D72" si="1">IF(B9&lt;&gt;"",(B9-$E$4)/$E$5,"")</f>
        <v>-1.2166606584807194</v>
      </c>
      <c r="E9" s="47">
        <f t="shared" ref="E9:E72" si="2">IF(B9&lt;&gt;"",_xlfn.NORM.S.DIST(D9,TRUE),"")</f>
        <v>0.11186667667480657</v>
      </c>
      <c r="F9" s="62">
        <f t="shared" ref="F9:F72" si="3">IF(B9&lt;&gt;"",ABS(C9-E9),"")</f>
        <v>4.1979477171347285E-2</v>
      </c>
      <c r="G9" s="62"/>
      <c r="I9" s="48" t="s">
        <v>40</v>
      </c>
      <c r="J9" s="48" t="s">
        <v>55</v>
      </c>
    </row>
    <row r="10" spans="1:18">
      <c r="A10">
        <v>3</v>
      </c>
      <c r="B10" s="46">
        <v>5</v>
      </c>
      <c r="C10" s="47">
        <f t="shared" si="0"/>
        <v>0.23076923076923078</v>
      </c>
      <c r="D10" s="47">
        <f t="shared" si="1"/>
        <v>-1.2166606584807194</v>
      </c>
      <c r="E10" s="47">
        <f t="shared" si="2"/>
        <v>0.11186667667480657</v>
      </c>
      <c r="F10" s="62">
        <f t="shared" si="3"/>
        <v>0.11890255409442421</v>
      </c>
      <c r="G10" s="62"/>
      <c r="I10" s="48">
        <v>5</v>
      </c>
      <c r="J10" s="48">
        <v>0.56000000000000005</v>
      </c>
    </row>
    <row r="11" spans="1:18">
      <c r="A11">
        <v>4</v>
      </c>
      <c r="B11" s="46">
        <v>5</v>
      </c>
      <c r="C11" s="47">
        <f t="shared" si="0"/>
        <v>0.30769230769230771</v>
      </c>
      <c r="D11" s="47">
        <f t="shared" si="1"/>
        <v>-1.2166606584807194</v>
      </c>
      <c r="E11" s="47">
        <f t="shared" si="2"/>
        <v>0.11186667667480657</v>
      </c>
      <c r="F11" s="62">
        <f t="shared" si="3"/>
        <v>0.19582563101750114</v>
      </c>
      <c r="G11" s="62"/>
      <c r="I11" s="48">
        <v>10</v>
      </c>
      <c r="J11" s="48">
        <v>0.41</v>
      </c>
    </row>
    <row r="12" spans="1:18">
      <c r="A12">
        <v>5</v>
      </c>
      <c r="B12" s="46">
        <v>6</v>
      </c>
      <c r="C12" s="47">
        <f t="shared" si="0"/>
        <v>0.38461538461538464</v>
      </c>
      <c r="D12" s="47">
        <f t="shared" si="1"/>
        <v>-0.16222142113076291</v>
      </c>
      <c r="E12" s="47">
        <f t="shared" si="2"/>
        <v>0.43556574579857898</v>
      </c>
      <c r="F12" s="62">
        <f t="shared" si="3"/>
        <v>5.0950361183194348E-2</v>
      </c>
      <c r="G12" s="62"/>
      <c r="I12" s="48">
        <v>15</v>
      </c>
      <c r="J12" s="48">
        <v>0.34</v>
      </c>
    </row>
    <row r="13" spans="1:18" ht="15" customHeight="1">
      <c r="A13">
        <v>6</v>
      </c>
      <c r="B13" s="46">
        <v>6</v>
      </c>
      <c r="C13" s="47">
        <f t="shared" si="0"/>
        <v>0.46153846153846156</v>
      </c>
      <c r="D13" s="47">
        <f t="shared" si="1"/>
        <v>-0.16222142113076291</v>
      </c>
      <c r="E13" s="47">
        <f t="shared" si="2"/>
        <v>0.43556574579857898</v>
      </c>
      <c r="F13" s="62">
        <f t="shared" si="3"/>
        <v>2.5972715739882579E-2</v>
      </c>
      <c r="G13" s="62"/>
      <c r="I13" s="48">
        <v>20</v>
      </c>
      <c r="J13" s="48">
        <v>0.28999999999999998</v>
      </c>
      <c r="L13" s="73" t="str">
        <f>IF($J$7&lt;$L$7,"La muestra es NORMAL","NO tiene distribución NORMAL")</f>
        <v>La muestra es NORMAL</v>
      </c>
      <c r="M13" s="73"/>
      <c r="N13" s="73"/>
      <c r="O13" s="73"/>
      <c r="P13" s="73"/>
    </row>
    <row r="14" spans="1:18" ht="15" customHeight="1">
      <c r="A14">
        <v>7</v>
      </c>
      <c r="B14" s="46">
        <v>6</v>
      </c>
      <c r="C14" s="47">
        <f t="shared" si="0"/>
        <v>0.53846153846153844</v>
      </c>
      <c r="D14" s="47">
        <f t="shared" si="1"/>
        <v>-0.16222142113076291</v>
      </c>
      <c r="E14" s="47">
        <f t="shared" si="2"/>
        <v>0.43556574579857898</v>
      </c>
      <c r="F14" s="62">
        <f t="shared" si="3"/>
        <v>0.10289579266295945</v>
      </c>
      <c r="G14" s="62"/>
      <c r="I14" s="48">
        <v>25</v>
      </c>
      <c r="J14" s="48">
        <v>0.27</v>
      </c>
      <c r="L14" s="73"/>
      <c r="M14" s="73"/>
      <c r="N14" s="73"/>
      <c r="O14" s="73"/>
      <c r="P14" s="73"/>
    </row>
    <row r="15" spans="1:18" ht="15" customHeight="1">
      <c r="A15">
        <v>8</v>
      </c>
      <c r="B15" s="46">
        <v>6</v>
      </c>
      <c r="C15" s="47">
        <f t="shared" si="0"/>
        <v>0.61538461538461542</v>
      </c>
      <c r="D15" s="47">
        <f t="shared" si="1"/>
        <v>-0.16222142113076291</v>
      </c>
      <c r="E15" s="47">
        <f t="shared" si="2"/>
        <v>0.43556574579857898</v>
      </c>
      <c r="F15" s="62">
        <f t="shared" si="3"/>
        <v>0.17981886958603643</v>
      </c>
      <c r="G15" s="62"/>
      <c r="I15" s="48">
        <v>30</v>
      </c>
      <c r="J15" s="48">
        <v>0.24</v>
      </c>
      <c r="L15" s="73"/>
      <c r="M15" s="73"/>
      <c r="N15" s="73"/>
      <c r="O15" s="73"/>
      <c r="P15" s="73"/>
    </row>
    <row r="16" spans="1:18">
      <c r="A16">
        <v>9</v>
      </c>
      <c r="B16" s="46">
        <v>7</v>
      </c>
      <c r="C16" s="47">
        <f t="shared" si="0"/>
        <v>0.69230769230769229</v>
      </c>
      <c r="D16" s="47">
        <f t="shared" si="1"/>
        <v>0.8922178162191936</v>
      </c>
      <c r="E16" s="47">
        <f t="shared" si="2"/>
        <v>0.81386190274791126</v>
      </c>
      <c r="F16" s="62">
        <f t="shared" si="3"/>
        <v>0.12155421044021897</v>
      </c>
      <c r="G16" s="62"/>
      <c r="I16" s="48">
        <v>35</v>
      </c>
      <c r="J16" s="48">
        <v>0.23</v>
      </c>
      <c r="L16" s="73"/>
      <c r="M16" s="73"/>
      <c r="N16" s="73"/>
      <c r="O16" s="73"/>
      <c r="P16" s="73"/>
    </row>
    <row r="17" spans="1:16">
      <c r="A17">
        <v>10</v>
      </c>
      <c r="B17" s="46">
        <v>7</v>
      </c>
      <c r="C17" s="47">
        <f t="shared" si="0"/>
        <v>0.76923076923076927</v>
      </c>
      <c r="D17" s="47">
        <f t="shared" si="1"/>
        <v>0.8922178162191936</v>
      </c>
      <c r="E17" s="47">
        <f t="shared" si="2"/>
        <v>0.81386190274791126</v>
      </c>
      <c r="F17" s="62">
        <f t="shared" si="3"/>
        <v>4.4631133517141985E-2</v>
      </c>
      <c r="G17" s="62"/>
      <c r="I17" s="48">
        <v>40</v>
      </c>
      <c r="J17" s="48">
        <v>0.21</v>
      </c>
      <c r="L17" s="73"/>
      <c r="M17" s="73"/>
      <c r="N17" s="73"/>
      <c r="O17" s="73"/>
      <c r="P17" s="73"/>
    </row>
    <row r="18" spans="1:16">
      <c r="A18">
        <v>11</v>
      </c>
      <c r="B18" s="46">
        <v>7</v>
      </c>
      <c r="C18" s="47">
        <f t="shared" si="0"/>
        <v>0.84615384615384615</v>
      </c>
      <c r="D18" s="47">
        <f t="shared" si="1"/>
        <v>0.8922178162191936</v>
      </c>
      <c r="E18" s="47">
        <f t="shared" si="2"/>
        <v>0.81386190274791126</v>
      </c>
      <c r="F18" s="62">
        <f t="shared" si="3"/>
        <v>3.2291943405934886E-2</v>
      </c>
      <c r="G18" s="62"/>
      <c r="I18" s="48">
        <v>45</v>
      </c>
      <c r="J18" s="48">
        <v>0.2</v>
      </c>
      <c r="L18" s="73"/>
      <c r="M18" s="73"/>
      <c r="N18" s="73"/>
      <c r="O18" s="73"/>
      <c r="P18" s="73"/>
    </row>
    <row r="19" spans="1:16">
      <c r="A19">
        <v>12</v>
      </c>
      <c r="B19" s="46">
        <v>7</v>
      </c>
      <c r="C19" s="47">
        <f t="shared" si="0"/>
        <v>0.92307692307692313</v>
      </c>
      <c r="D19" s="47">
        <f t="shared" si="1"/>
        <v>0.8922178162191936</v>
      </c>
      <c r="E19" s="47">
        <f t="shared" si="2"/>
        <v>0.81386190274791126</v>
      </c>
      <c r="F19" s="62">
        <f t="shared" si="3"/>
        <v>0.10921502032901187</v>
      </c>
      <c r="G19" s="62"/>
      <c r="I19" s="48">
        <v>50</v>
      </c>
      <c r="J19" s="48">
        <v>0.19</v>
      </c>
      <c r="L19" s="73"/>
      <c r="M19" s="73"/>
      <c r="N19" s="73"/>
      <c r="O19" s="73"/>
      <c r="P19" s="73"/>
    </row>
    <row r="20" spans="1:16">
      <c r="A20">
        <v>13</v>
      </c>
      <c r="B20" s="46">
        <v>8</v>
      </c>
      <c r="C20" s="47">
        <f t="shared" si="0"/>
        <v>1</v>
      </c>
      <c r="D20" s="47">
        <f t="shared" si="1"/>
        <v>1.9466570535691501</v>
      </c>
      <c r="E20" s="47">
        <f t="shared" si="2"/>
        <v>0.97421206818956141</v>
      </c>
      <c r="F20" s="62">
        <f t="shared" si="3"/>
        <v>2.5787931810438591E-2</v>
      </c>
      <c r="G20" s="62"/>
      <c r="I20" s="49"/>
      <c r="J20" s="49" t="s">
        <v>56</v>
      </c>
    </row>
    <row r="21" spans="1:16">
      <c r="A21">
        <v>14</v>
      </c>
      <c r="B21" s="46"/>
      <c r="C21" s="47" t="str">
        <f t="shared" si="0"/>
        <v/>
      </c>
      <c r="D21" s="47" t="str">
        <f t="shared" si="1"/>
        <v/>
      </c>
      <c r="E21" s="47" t="str">
        <f t="shared" si="2"/>
        <v/>
      </c>
      <c r="F21" s="62" t="str">
        <f t="shared" si="3"/>
        <v/>
      </c>
      <c r="G21" s="62"/>
      <c r="I21" s="49"/>
      <c r="J21" s="49" t="s">
        <v>57</v>
      </c>
    </row>
    <row r="22" spans="1:16">
      <c r="A22">
        <v>15</v>
      </c>
      <c r="B22" s="46"/>
      <c r="C22" s="47" t="str">
        <f t="shared" si="0"/>
        <v/>
      </c>
      <c r="D22" s="47" t="str">
        <f t="shared" si="1"/>
        <v/>
      </c>
      <c r="E22" s="47" t="str">
        <f t="shared" si="2"/>
        <v/>
      </c>
      <c r="F22" s="62" t="str">
        <f t="shared" si="3"/>
        <v/>
      </c>
      <c r="G22" s="62"/>
      <c r="I22" s="48">
        <f>$E$3</f>
        <v>13</v>
      </c>
      <c r="J22" s="48">
        <f>1.36/($E$3^(0.5))</f>
        <v>0.37719613343315583</v>
      </c>
    </row>
    <row r="23" spans="1:16">
      <c r="A23">
        <v>16</v>
      </c>
      <c r="B23" s="46"/>
      <c r="C23" s="47" t="str">
        <f t="shared" si="0"/>
        <v/>
      </c>
      <c r="D23" s="47" t="str">
        <f t="shared" si="1"/>
        <v/>
      </c>
      <c r="E23" s="47" t="str">
        <f t="shared" si="2"/>
        <v/>
      </c>
      <c r="F23" s="62" t="str">
        <f t="shared" si="3"/>
        <v/>
      </c>
      <c r="G23" s="62"/>
    </row>
    <row r="24" spans="1:16">
      <c r="A24">
        <v>17</v>
      </c>
      <c r="B24" s="46"/>
      <c r="C24" s="47" t="str">
        <f t="shared" si="0"/>
        <v/>
      </c>
      <c r="D24" s="47" t="str">
        <f t="shared" si="1"/>
        <v/>
      </c>
      <c r="E24" s="47" t="str">
        <f t="shared" si="2"/>
        <v/>
      </c>
      <c r="F24" s="62" t="str">
        <f t="shared" si="3"/>
        <v/>
      </c>
      <c r="G24" s="62"/>
    </row>
    <row r="25" spans="1:16">
      <c r="A25">
        <v>18</v>
      </c>
      <c r="B25" s="46"/>
      <c r="C25" s="47" t="str">
        <f t="shared" si="0"/>
        <v/>
      </c>
      <c r="D25" s="47" t="str">
        <f t="shared" si="1"/>
        <v/>
      </c>
      <c r="E25" s="47" t="str">
        <f t="shared" si="2"/>
        <v/>
      </c>
      <c r="F25" s="62" t="str">
        <f t="shared" si="3"/>
        <v/>
      </c>
      <c r="G25" s="62"/>
    </row>
    <row r="26" spans="1:16">
      <c r="A26">
        <v>19</v>
      </c>
      <c r="B26" s="46"/>
      <c r="C26" s="47" t="str">
        <f t="shared" si="0"/>
        <v/>
      </c>
      <c r="D26" s="47" t="str">
        <f t="shared" si="1"/>
        <v/>
      </c>
      <c r="E26" s="47" t="str">
        <f t="shared" si="2"/>
        <v/>
      </c>
      <c r="F26" s="62" t="str">
        <f t="shared" si="3"/>
        <v/>
      </c>
      <c r="G26" s="62"/>
    </row>
    <row r="27" spans="1:16">
      <c r="A27">
        <v>20</v>
      </c>
      <c r="B27" s="46"/>
      <c r="C27" s="47" t="str">
        <f t="shared" si="0"/>
        <v/>
      </c>
      <c r="D27" s="47" t="str">
        <f t="shared" si="1"/>
        <v/>
      </c>
      <c r="E27" s="47" t="str">
        <f t="shared" si="2"/>
        <v/>
      </c>
      <c r="F27" s="62" t="str">
        <f t="shared" si="3"/>
        <v/>
      </c>
      <c r="G27" s="62"/>
    </row>
    <row r="28" spans="1:16">
      <c r="A28">
        <v>21</v>
      </c>
      <c r="B28" s="46"/>
      <c r="C28" s="47" t="str">
        <f t="shared" si="0"/>
        <v/>
      </c>
      <c r="D28" s="47" t="str">
        <f t="shared" si="1"/>
        <v/>
      </c>
      <c r="E28" s="47" t="str">
        <f t="shared" si="2"/>
        <v/>
      </c>
      <c r="F28" s="62" t="str">
        <f t="shared" si="3"/>
        <v/>
      </c>
      <c r="G28" s="62"/>
    </row>
    <row r="29" spans="1:16">
      <c r="A29">
        <v>22</v>
      </c>
      <c r="B29" s="46"/>
      <c r="C29" s="47" t="str">
        <f t="shared" si="0"/>
        <v/>
      </c>
      <c r="D29" s="47" t="str">
        <f t="shared" si="1"/>
        <v/>
      </c>
      <c r="E29" s="47" t="str">
        <f t="shared" si="2"/>
        <v/>
      </c>
      <c r="F29" s="62" t="str">
        <f t="shared" si="3"/>
        <v/>
      </c>
      <c r="G29" s="62"/>
    </row>
    <row r="30" spans="1:16">
      <c r="A30">
        <v>23</v>
      </c>
      <c r="B30" s="46"/>
      <c r="C30" s="47" t="str">
        <f t="shared" si="0"/>
        <v/>
      </c>
      <c r="D30" s="47" t="str">
        <f t="shared" si="1"/>
        <v/>
      </c>
      <c r="E30" s="47" t="str">
        <f t="shared" si="2"/>
        <v/>
      </c>
      <c r="F30" s="62" t="str">
        <f t="shared" si="3"/>
        <v/>
      </c>
      <c r="G30" s="62"/>
    </row>
    <row r="31" spans="1:16">
      <c r="A31">
        <v>24</v>
      </c>
      <c r="B31" s="46"/>
      <c r="C31" s="47" t="str">
        <f t="shared" si="0"/>
        <v/>
      </c>
      <c r="D31" s="47" t="str">
        <f t="shared" si="1"/>
        <v/>
      </c>
      <c r="E31" s="47" t="str">
        <f t="shared" si="2"/>
        <v/>
      </c>
      <c r="F31" s="62" t="str">
        <f t="shared" si="3"/>
        <v/>
      </c>
      <c r="G31" s="62"/>
    </row>
    <row r="32" spans="1:16">
      <c r="A32">
        <v>25</v>
      </c>
      <c r="B32" s="46"/>
      <c r="C32" s="47" t="str">
        <f t="shared" si="0"/>
        <v/>
      </c>
      <c r="D32" s="47" t="str">
        <f t="shared" si="1"/>
        <v/>
      </c>
      <c r="E32" s="47" t="str">
        <f t="shared" si="2"/>
        <v/>
      </c>
      <c r="F32" s="62" t="str">
        <f t="shared" si="3"/>
        <v/>
      </c>
      <c r="G32" s="62"/>
    </row>
    <row r="33" spans="1:7">
      <c r="A33">
        <v>26</v>
      </c>
      <c r="B33" s="46"/>
      <c r="C33" s="47" t="str">
        <f t="shared" si="0"/>
        <v/>
      </c>
      <c r="D33" s="47" t="str">
        <f t="shared" si="1"/>
        <v/>
      </c>
      <c r="E33" s="47" t="str">
        <f t="shared" si="2"/>
        <v/>
      </c>
      <c r="F33" s="62" t="str">
        <f t="shared" si="3"/>
        <v/>
      </c>
      <c r="G33" s="62"/>
    </row>
    <row r="34" spans="1:7">
      <c r="A34">
        <v>27</v>
      </c>
      <c r="B34" s="46"/>
      <c r="C34" s="47" t="str">
        <f t="shared" si="0"/>
        <v/>
      </c>
      <c r="D34" s="47" t="str">
        <f t="shared" si="1"/>
        <v/>
      </c>
      <c r="E34" s="47" t="str">
        <f t="shared" si="2"/>
        <v/>
      </c>
      <c r="F34" s="62" t="str">
        <f t="shared" si="3"/>
        <v/>
      </c>
      <c r="G34" s="62"/>
    </row>
    <row r="35" spans="1:7">
      <c r="A35">
        <v>28</v>
      </c>
      <c r="B35" s="46"/>
      <c r="C35" s="47" t="str">
        <f t="shared" si="0"/>
        <v/>
      </c>
      <c r="D35" s="47" t="str">
        <f t="shared" si="1"/>
        <v/>
      </c>
      <c r="E35" s="47" t="str">
        <f t="shared" si="2"/>
        <v/>
      </c>
      <c r="F35" s="62" t="str">
        <f t="shared" si="3"/>
        <v/>
      </c>
      <c r="G35" s="62"/>
    </row>
    <row r="36" spans="1:7">
      <c r="A36">
        <v>29</v>
      </c>
      <c r="B36" s="46"/>
      <c r="C36" s="47" t="str">
        <f t="shared" si="0"/>
        <v/>
      </c>
      <c r="D36" s="47" t="str">
        <f t="shared" si="1"/>
        <v/>
      </c>
      <c r="E36" s="47" t="str">
        <f t="shared" si="2"/>
        <v/>
      </c>
      <c r="F36" s="62" t="str">
        <f t="shared" si="3"/>
        <v/>
      </c>
      <c r="G36" s="62"/>
    </row>
    <row r="37" spans="1:7">
      <c r="A37">
        <v>30</v>
      </c>
      <c r="B37" s="46"/>
      <c r="C37" s="47" t="str">
        <f t="shared" si="0"/>
        <v/>
      </c>
      <c r="D37" s="47" t="str">
        <f t="shared" si="1"/>
        <v/>
      </c>
      <c r="E37" s="47" t="str">
        <f t="shared" si="2"/>
        <v/>
      </c>
      <c r="F37" s="62" t="str">
        <f t="shared" si="3"/>
        <v/>
      </c>
      <c r="G37" s="62"/>
    </row>
    <row r="38" spans="1:7">
      <c r="A38">
        <v>31</v>
      </c>
      <c r="B38" s="46"/>
      <c r="C38" s="47" t="str">
        <f t="shared" si="0"/>
        <v/>
      </c>
      <c r="D38" s="47" t="str">
        <f t="shared" si="1"/>
        <v/>
      </c>
      <c r="E38" s="47" t="str">
        <f t="shared" si="2"/>
        <v/>
      </c>
      <c r="F38" s="62" t="str">
        <f t="shared" si="3"/>
        <v/>
      </c>
      <c r="G38" s="62"/>
    </row>
    <row r="39" spans="1:7">
      <c r="A39">
        <v>32</v>
      </c>
      <c r="B39" s="46"/>
      <c r="C39" s="47" t="str">
        <f t="shared" si="0"/>
        <v/>
      </c>
      <c r="D39" s="47" t="str">
        <f t="shared" si="1"/>
        <v/>
      </c>
      <c r="E39" s="47" t="str">
        <f t="shared" si="2"/>
        <v/>
      </c>
      <c r="F39" s="62" t="str">
        <f t="shared" si="3"/>
        <v/>
      </c>
      <c r="G39" s="62"/>
    </row>
    <row r="40" spans="1:7">
      <c r="A40">
        <v>33</v>
      </c>
      <c r="B40" s="46"/>
      <c r="C40" s="47" t="str">
        <f t="shared" si="0"/>
        <v/>
      </c>
      <c r="D40" s="47" t="str">
        <f t="shared" si="1"/>
        <v/>
      </c>
      <c r="E40" s="47" t="str">
        <f t="shared" si="2"/>
        <v/>
      </c>
      <c r="F40" s="62" t="str">
        <f t="shared" si="3"/>
        <v/>
      </c>
      <c r="G40" s="62"/>
    </row>
    <row r="41" spans="1:7">
      <c r="A41">
        <v>34</v>
      </c>
      <c r="B41" s="46"/>
      <c r="C41" s="47" t="str">
        <f t="shared" si="0"/>
        <v/>
      </c>
      <c r="D41" s="47" t="str">
        <f t="shared" si="1"/>
        <v/>
      </c>
      <c r="E41" s="47" t="str">
        <f t="shared" si="2"/>
        <v/>
      </c>
      <c r="F41" s="62" t="str">
        <f t="shared" si="3"/>
        <v/>
      </c>
      <c r="G41" s="62"/>
    </row>
    <row r="42" spans="1:7">
      <c r="A42">
        <v>35</v>
      </c>
      <c r="B42" s="46"/>
      <c r="C42" s="47" t="str">
        <f t="shared" si="0"/>
        <v/>
      </c>
      <c r="D42" s="47" t="str">
        <f t="shared" si="1"/>
        <v/>
      </c>
      <c r="E42" s="47" t="str">
        <f t="shared" si="2"/>
        <v/>
      </c>
      <c r="F42" s="62" t="str">
        <f t="shared" si="3"/>
        <v/>
      </c>
      <c r="G42" s="62"/>
    </row>
    <row r="43" spans="1:7">
      <c r="A43">
        <v>36</v>
      </c>
      <c r="B43" s="46"/>
      <c r="C43" s="47" t="str">
        <f t="shared" si="0"/>
        <v/>
      </c>
      <c r="D43" s="47" t="str">
        <f t="shared" si="1"/>
        <v/>
      </c>
      <c r="E43" s="47" t="str">
        <f t="shared" si="2"/>
        <v/>
      </c>
      <c r="F43" s="62" t="str">
        <f t="shared" si="3"/>
        <v/>
      </c>
      <c r="G43" s="62"/>
    </row>
    <row r="44" spans="1:7">
      <c r="A44">
        <v>37</v>
      </c>
      <c r="B44" s="46"/>
      <c r="C44" s="47" t="str">
        <f t="shared" si="0"/>
        <v/>
      </c>
      <c r="D44" s="47" t="str">
        <f t="shared" si="1"/>
        <v/>
      </c>
      <c r="E44" s="47" t="str">
        <f t="shared" si="2"/>
        <v/>
      </c>
      <c r="F44" s="62" t="str">
        <f t="shared" si="3"/>
        <v/>
      </c>
      <c r="G44" s="62"/>
    </row>
    <row r="45" spans="1:7">
      <c r="A45">
        <v>38</v>
      </c>
      <c r="B45" s="46"/>
      <c r="C45" s="47" t="str">
        <f t="shared" si="0"/>
        <v/>
      </c>
      <c r="D45" s="47" t="str">
        <f t="shared" si="1"/>
        <v/>
      </c>
      <c r="E45" s="47" t="str">
        <f t="shared" si="2"/>
        <v/>
      </c>
      <c r="F45" s="62" t="str">
        <f t="shared" si="3"/>
        <v/>
      </c>
      <c r="G45" s="62"/>
    </row>
    <row r="46" spans="1:7">
      <c r="A46">
        <v>39</v>
      </c>
      <c r="B46" s="46"/>
      <c r="C46" s="47" t="str">
        <f t="shared" si="0"/>
        <v/>
      </c>
      <c r="D46" s="47" t="str">
        <f t="shared" si="1"/>
        <v/>
      </c>
      <c r="E46" s="47" t="str">
        <f t="shared" si="2"/>
        <v/>
      </c>
      <c r="F46" s="62" t="str">
        <f t="shared" si="3"/>
        <v/>
      </c>
      <c r="G46" s="62"/>
    </row>
    <row r="47" spans="1:7">
      <c r="A47">
        <v>40</v>
      </c>
      <c r="B47" s="46"/>
      <c r="C47" s="47" t="str">
        <f t="shared" si="0"/>
        <v/>
      </c>
      <c r="D47" s="47" t="str">
        <f t="shared" si="1"/>
        <v/>
      </c>
      <c r="E47" s="47" t="str">
        <f t="shared" si="2"/>
        <v/>
      </c>
      <c r="F47" s="62" t="str">
        <f t="shared" si="3"/>
        <v/>
      </c>
      <c r="G47" s="62"/>
    </row>
    <row r="48" spans="1:7">
      <c r="A48">
        <v>41</v>
      </c>
      <c r="B48" s="46"/>
      <c r="C48" s="47" t="str">
        <f t="shared" si="0"/>
        <v/>
      </c>
      <c r="D48" s="47" t="str">
        <f t="shared" si="1"/>
        <v/>
      </c>
      <c r="E48" s="47" t="str">
        <f t="shared" si="2"/>
        <v/>
      </c>
      <c r="F48" s="62" t="str">
        <f t="shared" si="3"/>
        <v/>
      </c>
      <c r="G48" s="62"/>
    </row>
    <row r="49" spans="1:7">
      <c r="A49">
        <v>42</v>
      </c>
      <c r="B49" s="46"/>
      <c r="C49" s="47" t="str">
        <f t="shared" si="0"/>
        <v/>
      </c>
      <c r="D49" s="47" t="str">
        <f t="shared" si="1"/>
        <v/>
      </c>
      <c r="E49" s="47" t="str">
        <f t="shared" si="2"/>
        <v/>
      </c>
      <c r="F49" s="62" t="str">
        <f t="shared" si="3"/>
        <v/>
      </c>
      <c r="G49" s="62"/>
    </row>
    <row r="50" spans="1:7">
      <c r="A50">
        <v>43</v>
      </c>
      <c r="B50" s="46"/>
      <c r="C50" s="47" t="str">
        <f t="shared" si="0"/>
        <v/>
      </c>
      <c r="D50" s="47" t="str">
        <f t="shared" si="1"/>
        <v/>
      </c>
      <c r="E50" s="47" t="str">
        <f t="shared" si="2"/>
        <v/>
      </c>
      <c r="F50" s="62" t="str">
        <f t="shared" si="3"/>
        <v/>
      </c>
      <c r="G50" s="62"/>
    </row>
    <row r="51" spans="1:7">
      <c r="A51">
        <v>44</v>
      </c>
      <c r="B51" s="46"/>
      <c r="C51" s="47" t="str">
        <f t="shared" si="0"/>
        <v/>
      </c>
      <c r="D51" s="47" t="str">
        <f t="shared" si="1"/>
        <v/>
      </c>
      <c r="E51" s="47" t="str">
        <f t="shared" si="2"/>
        <v/>
      </c>
      <c r="F51" s="62" t="str">
        <f t="shared" si="3"/>
        <v/>
      </c>
      <c r="G51" s="62"/>
    </row>
    <row r="52" spans="1:7">
      <c r="A52">
        <v>45</v>
      </c>
      <c r="B52" s="46"/>
      <c r="C52" s="47" t="str">
        <f t="shared" si="0"/>
        <v/>
      </c>
      <c r="D52" s="47" t="str">
        <f t="shared" si="1"/>
        <v/>
      </c>
      <c r="E52" s="47" t="str">
        <f t="shared" si="2"/>
        <v/>
      </c>
      <c r="F52" s="62" t="str">
        <f t="shared" si="3"/>
        <v/>
      </c>
      <c r="G52" s="62"/>
    </row>
    <row r="53" spans="1:7">
      <c r="A53">
        <v>46</v>
      </c>
      <c r="B53" s="46"/>
      <c r="C53" s="47" t="str">
        <f t="shared" si="0"/>
        <v/>
      </c>
      <c r="D53" s="47" t="str">
        <f t="shared" si="1"/>
        <v/>
      </c>
      <c r="E53" s="47" t="str">
        <f t="shared" si="2"/>
        <v/>
      </c>
      <c r="F53" s="62" t="str">
        <f t="shared" si="3"/>
        <v/>
      </c>
      <c r="G53" s="62"/>
    </row>
    <row r="54" spans="1:7">
      <c r="A54">
        <v>47</v>
      </c>
      <c r="B54" s="46"/>
      <c r="C54" s="47" t="str">
        <f t="shared" si="0"/>
        <v/>
      </c>
      <c r="D54" s="47" t="str">
        <f t="shared" si="1"/>
        <v/>
      </c>
      <c r="E54" s="47" t="str">
        <f t="shared" si="2"/>
        <v/>
      </c>
      <c r="F54" s="62" t="str">
        <f t="shared" si="3"/>
        <v/>
      </c>
      <c r="G54" s="62"/>
    </row>
    <row r="55" spans="1:7">
      <c r="A55">
        <v>48</v>
      </c>
      <c r="B55" s="46"/>
      <c r="C55" s="47" t="str">
        <f t="shared" si="0"/>
        <v/>
      </c>
      <c r="D55" s="47" t="str">
        <f t="shared" si="1"/>
        <v/>
      </c>
      <c r="E55" s="47" t="str">
        <f t="shared" si="2"/>
        <v/>
      </c>
      <c r="F55" s="62" t="str">
        <f t="shared" si="3"/>
        <v/>
      </c>
      <c r="G55" s="62"/>
    </row>
    <row r="56" spans="1:7">
      <c r="A56">
        <v>49</v>
      </c>
      <c r="B56" s="46"/>
      <c r="C56" s="47" t="str">
        <f t="shared" si="0"/>
        <v/>
      </c>
      <c r="D56" s="47" t="str">
        <f t="shared" si="1"/>
        <v/>
      </c>
      <c r="E56" s="47" t="str">
        <f t="shared" si="2"/>
        <v/>
      </c>
      <c r="F56" s="62" t="str">
        <f t="shared" si="3"/>
        <v/>
      </c>
      <c r="G56" s="62"/>
    </row>
    <row r="57" spans="1:7">
      <c r="A57">
        <v>50</v>
      </c>
      <c r="B57" s="46"/>
      <c r="C57" s="47" t="str">
        <f t="shared" si="0"/>
        <v/>
      </c>
      <c r="D57" s="47" t="str">
        <f t="shared" si="1"/>
        <v/>
      </c>
      <c r="E57" s="47" t="str">
        <f t="shared" si="2"/>
        <v/>
      </c>
      <c r="F57" s="62" t="str">
        <f t="shared" si="3"/>
        <v/>
      </c>
      <c r="G57" s="62"/>
    </row>
    <row r="58" spans="1:7">
      <c r="A58">
        <v>51</v>
      </c>
      <c r="B58" s="46"/>
      <c r="C58" s="47" t="str">
        <f t="shared" si="0"/>
        <v/>
      </c>
      <c r="D58" s="47" t="str">
        <f t="shared" si="1"/>
        <v/>
      </c>
      <c r="E58" s="47" t="str">
        <f t="shared" si="2"/>
        <v/>
      </c>
      <c r="F58" s="62" t="str">
        <f t="shared" si="3"/>
        <v/>
      </c>
      <c r="G58" s="62"/>
    </row>
    <row r="59" spans="1:7">
      <c r="A59">
        <v>52</v>
      </c>
      <c r="B59" s="46"/>
      <c r="C59" s="47" t="str">
        <f t="shared" si="0"/>
        <v/>
      </c>
      <c r="D59" s="47" t="str">
        <f t="shared" si="1"/>
        <v/>
      </c>
      <c r="E59" s="47" t="str">
        <f t="shared" si="2"/>
        <v/>
      </c>
      <c r="F59" s="62" t="str">
        <f t="shared" si="3"/>
        <v/>
      </c>
      <c r="G59" s="62"/>
    </row>
    <row r="60" spans="1:7">
      <c r="A60">
        <v>53</v>
      </c>
      <c r="B60" s="46"/>
      <c r="C60" s="47" t="str">
        <f t="shared" si="0"/>
        <v/>
      </c>
      <c r="D60" s="47" t="str">
        <f t="shared" si="1"/>
        <v/>
      </c>
      <c r="E60" s="47" t="str">
        <f t="shared" si="2"/>
        <v/>
      </c>
      <c r="F60" s="62" t="str">
        <f t="shared" si="3"/>
        <v/>
      </c>
      <c r="G60" s="62"/>
    </row>
    <row r="61" spans="1:7">
      <c r="A61">
        <v>54</v>
      </c>
      <c r="B61" s="46"/>
      <c r="C61" s="47" t="str">
        <f t="shared" si="0"/>
        <v/>
      </c>
      <c r="D61" s="47" t="str">
        <f t="shared" si="1"/>
        <v/>
      </c>
      <c r="E61" s="47" t="str">
        <f t="shared" si="2"/>
        <v/>
      </c>
      <c r="F61" s="62" t="str">
        <f t="shared" si="3"/>
        <v/>
      </c>
      <c r="G61" s="62"/>
    </row>
    <row r="62" spans="1:7">
      <c r="A62">
        <v>55</v>
      </c>
      <c r="B62" s="46"/>
      <c r="C62" s="47" t="str">
        <f t="shared" si="0"/>
        <v/>
      </c>
      <c r="D62" s="47" t="str">
        <f t="shared" si="1"/>
        <v/>
      </c>
      <c r="E62" s="47" t="str">
        <f t="shared" si="2"/>
        <v/>
      </c>
      <c r="F62" s="62" t="str">
        <f t="shared" si="3"/>
        <v/>
      </c>
      <c r="G62" s="62"/>
    </row>
    <row r="63" spans="1:7">
      <c r="A63">
        <v>56</v>
      </c>
      <c r="B63" s="46"/>
      <c r="C63" s="47" t="str">
        <f t="shared" si="0"/>
        <v/>
      </c>
      <c r="D63" s="47" t="str">
        <f t="shared" si="1"/>
        <v/>
      </c>
      <c r="E63" s="47" t="str">
        <f t="shared" si="2"/>
        <v/>
      </c>
      <c r="F63" s="62" t="str">
        <f t="shared" si="3"/>
        <v/>
      </c>
      <c r="G63" s="62"/>
    </row>
    <row r="64" spans="1:7">
      <c r="A64">
        <v>57</v>
      </c>
      <c r="B64" s="46"/>
      <c r="C64" s="47" t="str">
        <f t="shared" si="0"/>
        <v/>
      </c>
      <c r="D64" s="47" t="str">
        <f t="shared" si="1"/>
        <v/>
      </c>
      <c r="E64" s="47" t="str">
        <f t="shared" si="2"/>
        <v/>
      </c>
      <c r="F64" s="62" t="str">
        <f t="shared" si="3"/>
        <v/>
      </c>
      <c r="G64" s="62"/>
    </row>
    <row r="65" spans="1:7">
      <c r="A65">
        <v>58</v>
      </c>
      <c r="B65" s="46"/>
      <c r="C65" s="47" t="str">
        <f t="shared" si="0"/>
        <v/>
      </c>
      <c r="D65" s="47" t="str">
        <f t="shared" si="1"/>
        <v/>
      </c>
      <c r="E65" s="47" t="str">
        <f t="shared" si="2"/>
        <v/>
      </c>
      <c r="F65" s="62" t="str">
        <f t="shared" si="3"/>
        <v/>
      </c>
      <c r="G65" s="62"/>
    </row>
    <row r="66" spans="1:7">
      <c r="A66">
        <v>59</v>
      </c>
      <c r="B66" s="46"/>
      <c r="C66" s="47" t="str">
        <f t="shared" si="0"/>
        <v/>
      </c>
      <c r="D66" s="47" t="str">
        <f t="shared" si="1"/>
        <v/>
      </c>
      <c r="E66" s="47" t="str">
        <f t="shared" si="2"/>
        <v/>
      </c>
      <c r="F66" s="62" t="str">
        <f t="shared" si="3"/>
        <v/>
      </c>
      <c r="G66" s="62"/>
    </row>
    <row r="67" spans="1:7">
      <c r="A67">
        <v>60</v>
      </c>
      <c r="B67" s="46"/>
      <c r="C67" s="47" t="str">
        <f t="shared" si="0"/>
        <v/>
      </c>
      <c r="D67" s="47" t="str">
        <f t="shared" si="1"/>
        <v/>
      </c>
      <c r="E67" s="47" t="str">
        <f t="shared" si="2"/>
        <v/>
      </c>
      <c r="F67" s="62" t="str">
        <f t="shared" si="3"/>
        <v/>
      </c>
      <c r="G67" s="62"/>
    </row>
    <row r="68" spans="1:7">
      <c r="A68">
        <v>61</v>
      </c>
      <c r="B68" s="46"/>
      <c r="C68" s="47" t="str">
        <f t="shared" si="0"/>
        <v/>
      </c>
      <c r="D68" s="47" t="str">
        <f t="shared" si="1"/>
        <v/>
      </c>
      <c r="E68" s="47" t="str">
        <f t="shared" si="2"/>
        <v/>
      </c>
      <c r="F68" s="62" t="str">
        <f t="shared" si="3"/>
        <v/>
      </c>
      <c r="G68" s="62"/>
    </row>
    <row r="69" spans="1:7">
      <c r="A69">
        <v>62</v>
      </c>
      <c r="B69" s="46"/>
      <c r="C69" s="47" t="str">
        <f t="shared" si="0"/>
        <v/>
      </c>
      <c r="D69" s="47" t="str">
        <f t="shared" si="1"/>
        <v/>
      </c>
      <c r="E69" s="47" t="str">
        <f t="shared" si="2"/>
        <v/>
      </c>
      <c r="F69" s="62" t="str">
        <f t="shared" si="3"/>
        <v/>
      </c>
      <c r="G69" s="62"/>
    </row>
    <row r="70" spans="1:7">
      <c r="A70">
        <v>63</v>
      </c>
      <c r="B70" s="46"/>
      <c r="C70" s="47" t="str">
        <f t="shared" si="0"/>
        <v/>
      </c>
      <c r="D70" s="47" t="str">
        <f t="shared" si="1"/>
        <v/>
      </c>
      <c r="E70" s="47" t="str">
        <f t="shared" si="2"/>
        <v/>
      </c>
      <c r="F70" s="62" t="str">
        <f t="shared" si="3"/>
        <v/>
      </c>
      <c r="G70" s="62"/>
    </row>
    <row r="71" spans="1:7">
      <c r="A71">
        <v>64</v>
      </c>
      <c r="B71" s="46"/>
      <c r="C71" s="47" t="str">
        <f t="shared" si="0"/>
        <v/>
      </c>
      <c r="D71" s="47" t="str">
        <f t="shared" si="1"/>
        <v/>
      </c>
      <c r="E71" s="47" t="str">
        <f t="shared" si="2"/>
        <v/>
      </c>
      <c r="F71" s="62" t="str">
        <f t="shared" si="3"/>
        <v/>
      </c>
      <c r="G71" s="62"/>
    </row>
    <row r="72" spans="1:7">
      <c r="A72">
        <v>65</v>
      </c>
      <c r="B72" s="46"/>
      <c r="C72" s="47" t="str">
        <f t="shared" si="0"/>
        <v/>
      </c>
      <c r="D72" s="47" t="str">
        <f t="shared" si="1"/>
        <v/>
      </c>
      <c r="E72" s="47" t="str">
        <f t="shared" si="2"/>
        <v/>
      </c>
      <c r="F72" s="62" t="str">
        <f t="shared" si="3"/>
        <v/>
      </c>
      <c r="G72" s="62"/>
    </row>
    <row r="73" spans="1:7">
      <c r="A73">
        <v>66</v>
      </c>
      <c r="B73" s="46"/>
      <c r="C73" s="47" t="str">
        <f t="shared" ref="C73:C136" si="4">IF(B73&lt;&gt;"",A73/$E$3,"")</f>
        <v/>
      </c>
      <c r="D73" s="47" t="str">
        <f t="shared" ref="D73:D136" si="5">IF(B73&lt;&gt;"",(B73-$E$4)/$E$5,"")</f>
        <v/>
      </c>
      <c r="E73" s="47" t="str">
        <f t="shared" ref="E73:E136" si="6">IF(B73&lt;&gt;"",_xlfn.NORM.S.DIST(D73,TRUE),"")</f>
        <v/>
      </c>
      <c r="F73" s="62" t="str">
        <f t="shared" ref="F73:F136" si="7">IF(B73&lt;&gt;"",ABS(C73-E73),"")</f>
        <v/>
      </c>
      <c r="G73" s="62"/>
    </row>
    <row r="74" spans="1:7">
      <c r="A74">
        <v>67</v>
      </c>
      <c r="B74" s="46"/>
      <c r="C74" s="47" t="str">
        <f t="shared" si="4"/>
        <v/>
      </c>
      <c r="D74" s="47" t="str">
        <f t="shared" si="5"/>
        <v/>
      </c>
      <c r="E74" s="47" t="str">
        <f t="shared" si="6"/>
        <v/>
      </c>
      <c r="F74" s="62" t="str">
        <f t="shared" si="7"/>
        <v/>
      </c>
      <c r="G74" s="62"/>
    </row>
    <row r="75" spans="1:7">
      <c r="A75">
        <v>68</v>
      </c>
      <c r="B75" s="46"/>
      <c r="C75" s="47" t="str">
        <f t="shared" si="4"/>
        <v/>
      </c>
      <c r="D75" s="47" t="str">
        <f t="shared" si="5"/>
        <v/>
      </c>
      <c r="E75" s="47" t="str">
        <f t="shared" si="6"/>
        <v/>
      </c>
      <c r="F75" s="62" t="str">
        <f t="shared" si="7"/>
        <v/>
      </c>
      <c r="G75" s="62"/>
    </row>
    <row r="76" spans="1:7">
      <c r="A76">
        <v>69</v>
      </c>
      <c r="B76" s="46"/>
      <c r="C76" s="47" t="str">
        <f t="shared" si="4"/>
        <v/>
      </c>
      <c r="D76" s="47" t="str">
        <f t="shared" si="5"/>
        <v/>
      </c>
      <c r="E76" s="47" t="str">
        <f t="shared" si="6"/>
        <v/>
      </c>
      <c r="F76" s="62" t="str">
        <f t="shared" si="7"/>
        <v/>
      </c>
      <c r="G76" s="62"/>
    </row>
    <row r="77" spans="1:7">
      <c r="A77">
        <v>70</v>
      </c>
      <c r="B77" s="46"/>
      <c r="C77" s="47" t="str">
        <f t="shared" si="4"/>
        <v/>
      </c>
      <c r="D77" s="47" t="str">
        <f t="shared" si="5"/>
        <v/>
      </c>
      <c r="E77" s="47" t="str">
        <f t="shared" si="6"/>
        <v/>
      </c>
      <c r="F77" s="62" t="str">
        <f t="shared" si="7"/>
        <v/>
      </c>
      <c r="G77" s="62"/>
    </row>
    <row r="78" spans="1:7">
      <c r="A78">
        <v>71</v>
      </c>
      <c r="B78" s="46"/>
      <c r="C78" s="47" t="str">
        <f t="shared" si="4"/>
        <v/>
      </c>
      <c r="D78" s="47" t="str">
        <f t="shared" si="5"/>
        <v/>
      </c>
      <c r="E78" s="47" t="str">
        <f t="shared" si="6"/>
        <v/>
      </c>
      <c r="F78" s="62" t="str">
        <f t="shared" si="7"/>
        <v/>
      </c>
      <c r="G78" s="62"/>
    </row>
    <row r="79" spans="1:7">
      <c r="A79">
        <v>72</v>
      </c>
      <c r="B79" s="46"/>
      <c r="C79" s="47" t="str">
        <f t="shared" si="4"/>
        <v/>
      </c>
      <c r="D79" s="47" t="str">
        <f t="shared" si="5"/>
        <v/>
      </c>
      <c r="E79" s="47" t="str">
        <f t="shared" si="6"/>
        <v/>
      </c>
      <c r="F79" s="62" t="str">
        <f t="shared" si="7"/>
        <v/>
      </c>
      <c r="G79" s="62"/>
    </row>
    <row r="80" spans="1:7">
      <c r="A80">
        <v>73</v>
      </c>
      <c r="B80" s="46"/>
      <c r="C80" s="47" t="str">
        <f t="shared" si="4"/>
        <v/>
      </c>
      <c r="D80" s="47" t="str">
        <f t="shared" si="5"/>
        <v/>
      </c>
      <c r="E80" s="47" t="str">
        <f t="shared" si="6"/>
        <v/>
      </c>
      <c r="F80" s="62" t="str">
        <f t="shared" si="7"/>
        <v/>
      </c>
      <c r="G80" s="62"/>
    </row>
    <row r="81" spans="1:7">
      <c r="A81">
        <v>74</v>
      </c>
      <c r="B81" s="46"/>
      <c r="C81" s="47" t="str">
        <f t="shared" si="4"/>
        <v/>
      </c>
      <c r="D81" s="47" t="str">
        <f t="shared" si="5"/>
        <v/>
      </c>
      <c r="E81" s="47" t="str">
        <f t="shared" si="6"/>
        <v/>
      </c>
      <c r="F81" s="62" t="str">
        <f t="shared" si="7"/>
        <v/>
      </c>
      <c r="G81" s="62"/>
    </row>
    <row r="82" spans="1:7">
      <c r="A82">
        <v>75</v>
      </c>
      <c r="B82" s="46"/>
      <c r="C82" s="47" t="str">
        <f t="shared" si="4"/>
        <v/>
      </c>
      <c r="D82" s="47" t="str">
        <f t="shared" si="5"/>
        <v/>
      </c>
      <c r="E82" s="47" t="str">
        <f t="shared" si="6"/>
        <v/>
      </c>
      <c r="F82" s="62" t="str">
        <f t="shared" si="7"/>
        <v/>
      </c>
      <c r="G82" s="62"/>
    </row>
    <row r="83" spans="1:7">
      <c r="A83">
        <v>76</v>
      </c>
      <c r="B83" s="46"/>
      <c r="C83" s="47" t="str">
        <f t="shared" si="4"/>
        <v/>
      </c>
      <c r="D83" s="47" t="str">
        <f t="shared" si="5"/>
        <v/>
      </c>
      <c r="E83" s="47" t="str">
        <f t="shared" si="6"/>
        <v/>
      </c>
      <c r="F83" s="62" t="str">
        <f t="shared" si="7"/>
        <v/>
      </c>
      <c r="G83" s="62"/>
    </row>
    <row r="84" spans="1:7">
      <c r="A84">
        <v>77</v>
      </c>
      <c r="B84" s="46"/>
      <c r="C84" s="47" t="str">
        <f t="shared" si="4"/>
        <v/>
      </c>
      <c r="D84" s="47" t="str">
        <f t="shared" si="5"/>
        <v/>
      </c>
      <c r="E84" s="47" t="str">
        <f t="shared" si="6"/>
        <v/>
      </c>
      <c r="F84" s="62" t="str">
        <f t="shared" si="7"/>
        <v/>
      </c>
      <c r="G84" s="62"/>
    </row>
    <row r="85" spans="1:7">
      <c r="A85">
        <v>78</v>
      </c>
      <c r="B85" s="46"/>
      <c r="C85" s="47" t="str">
        <f t="shared" si="4"/>
        <v/>
      </c>
      <c r="D85" s="47" t="str">
        <f t="shared" si="5"/>
        <v/>
      </c>
      <c r="E85" s="47" t="str">
        <f t="shared" si="6"/>
        <v/>
      </c>
      <c r="F85" s="62" t="str">
        <f t="shared" si="7"/>
        <v/>
      </c>
      <c r="G85" s="62"/>
    </row>
    <row r="86" spans="1:7">
      <c r="A86">
        <v>79</v>
      </c>
      <c r="B86" s="46"/>
      <c r="C86" s="47" t="str">
        <f t="shared" si="4"/>
        <v/>
      </c>
      <c r="D86" s="47" t="str">
        <f t="shared" si="5"/>
        <v/>
      </c>
      <c r="E86" s="47" t="str">
        <f t="shared" si="6"/>
        <v/>
      </c>
      <c r="F86" s="62" t="str">
        <f t="shared" si="7"/>
        <v/>
      </c>
      <c r="G86" s="62"/>
    </row>
    <row r="87" spans="1:7">
      <c r="A87">
        <v>80</v>
      </c>
      <c r="B87" s="46"/>
      <c r="C87" s="47" t="str">
        <f t="shared" si="4"/>
        <v/>
      </c>
      <c r="D87" s="47" t="str">
        <f t="shared" si="5"/>
        <v/>
      </c>
      <c r="E87" s="47" t="str">
        <f t="shared" si="6"/>
        <v/>
      </c>
      <c r="F87" s="62" t="str">
        <f t="shared" si="7"/>
        <v/>
      </c>
      <c r="G87" s="62"/>
    </row>
    <row r="88" spans="1:7">
      <c r="A88">
        <v>81</v>
      </c>
      <c r="B88" s="46"/>
      <c r="C88" s="47" t="str">
        <f t="shared" si="4"/>
        <v/>
      </c>
      <c r="D88" s="47" t="str">
        <f t="shared" si="5"/>
        <v/>
      </c>
      <c r="E88" s="47" t="str">
        <f t="shared" si="6"/>
        <v/>
      </c>
      <c r="F88" s="62" t="str">
        <f t="shared" si="7"/>
        <v/>
      </c>
      <c r="G88" s="62"/>
    </row>
    <row r="89" spans="1:7">
      <c r="A89">
        <v>82</v>
      </c>
      <c r="B89" s="46"/>
      <c r="C89" s="47" t="str">
        <f t="shared" si="4"/>
        <v/>
      </c>
      <c r="D89" s="47" t="str">
        <f t="shared" si="5"/>
        <v/>
      </c>
      <c r="E89" s="47" t="str">
        <f t="shared" si="6"/>
        <v/>
      </c>
      <c r="F89" s="62" t="str">
        <f t="shared" si="7"/>
        <v/>
      </c>
      <c r="G89" s="62"/>
    </row>
    <row r="90" spans="1:7">
      <c r="A90">
        <v>83</v>
      </c>
      <c r="B90" s="46"/>
      <c r="C90" s="47" t="str">
        <f t="shared" si="4"/>
        <v/>
      </c>
      <c r="D90" s="47" t="str">
        <f t="shared" si="5"/>
        <v/>
      </c>
      <c r="E90" s="47" t="str">
        <f t="shared" si="6"/>
        <v/>
      </c>
      <c r="F90" s="62" t="str">
        <f t="shared" si="7"/>
        <v/>
      </c>
      <c r="G90" s="62"/>
    </row>
    <row r="91" spans="1:7">
      <c r="A91">
        <v>84</v>
      </c>
      <c r="B91" s="46"/>
      <c r="C91" s="47" t="str">
        <f t="shared" si="4"/>
        <v/>
      </c>
      <c r="D91" s="47" t="str">
        <f t="shared" si="5"/>
        <v/>
      </c>
      <c r="E91" s="47" t="str">
        <f t="shared" si="6"/>
        <v/>
      </c>
      <c r="F91" s="62" t="str">
        <f t="shared" si="7"/>
        <v/>
      </c>
      <c r="G91" s="62"/>
    </row>
    <row r="92" spans="1:7">
      <c r="A92">
        <v>85</v>
      </c>
      <c r="B92" s="46"/>
      <c r="C92" s="47" t="str">
        <f t="shared" si="4"/>
        <v/>
      </c>
      <c r="D92" s="47" t="str">
        <f t="shared" si="5"/>
        <v/>
      </c>
      <c r="E92" s="47" t="str">
        <f t="shared" si="6"/>
        <v/>
      </c>
      <c r="F92" s="62" t="str">
        <f t="shared" si="7"/>
        <v/>
      </c>
      <c r="G92" s="62"/>
    </row>
    <row r="93" spans="1:7">
      <c r="A93">
        <v>86</v>
      </c>
      <c r="B93" s="46"/>
      <c r="C93" s="47" t="str">
        <f t="shared" si="4"/>
        <v/>
      </c>
      <c r="D93" s="47" t="str">
        <f t="shared" si="5"/>
        <v/>
      </c>
      <c r="E93" s="47" t="str">
        <f t="shared" si="6"/>
        <v/>
      </c>
      <c r="F93" s="62" t="str">
        <f t="shared" si="7"/>
        <v/>
      </c>
      <c r="G93" s="62"/>
    </row>
    <row r="94" spans="1:7">
      <c r="A94">
        <v>87</v>
      </c>
      <c r="B94" s="46"/>
      <c r="C94" s="47" t="str">
        <f t="shared" si="4"/>
        <v/>
      </c>
      <c r="D94" s="47" t="str">
        <f t="shared" si="5"/>
        <v/>
      </c>
      <c r="E94" s="47" t="str">
        <f t="shared" si="6"/>
        <v/>
      </c>
      <c r="F94" s="62" t="str">
        <f t="shared" si="7"/>
        <v/>
      </c>
      <c r="G94" s="62"/>
    </row>
    <row r="95" spans="1:7">
      <c r="A95">
        <v>88</v>
      </c>
      <c r="B95" s="46"/>
      <c r="C95" s="47" t="str">
        <f t="shared" si="4"/>
        <v/>
      </c>
      <c r="D95" s="47" t="str">
        <f t="shared" si="5"/>
        <v/>
      </c>
      <c r="E95" s="47" t="str">
        <f t="shared" si="6"/>
        <v/>
      </c>
      <c r="F95" s="62" t="str">
        <f t="shared" si="7"/>
        <v/>
      </c>
      <c r="G95" s="62"/>
    </row>
    <row r="96" spans="1:7">
      <c r="A96">
        <v>89</v>
      </c>
      <c r="B96" s="46"/>
      <c r="C96" s="47" t="str">
        <f t="shared" si="4"/>
        <v/>
      </c>
      <c r="D96" s="47" t="str">
        <f t="shared" si="5"/>
        <v/>
      </c>
      <c r="E96" s="47" t="str">
        <f t="shared" si="6"/>
        <v/>
      </c>
      <c r="F96" s="62" t="str">
        <f t="shared" si="7"/>
        <v/>
      </c>
      <c r="G96" s="62"/>
    </row>
    <row r="97" spans="1:7">
      <c r="A97">
        <v>90</v>
      </c>
      <c r="B97" s="46"/>
      <c r="C97" s="47" t="str">
        <f t="shared" si="4"/>
        <v/>
      </c>
      <c r="D97" s="47" t="str">
        <f t="shared" si="5"/>
        <v/>
      </c>
      <c r="E97" s="47" t="str">
        <f t="shared" si="6"/>
        <v/>
      </c>
      <c r="F97" s="62" t="str">
        <f t="shared" si="7"/>
        <v/>
      </c>
      <c r="G97" s="62"/>
    </row>
    <row r="98" spans="1:7">
      <c r="A98">
        <v>91</v>
      </c>
      <c r="B98" s="46"/>
      <c r="C98" s="47" t="str">
        <f t="shared" si="4"/>
        <v/>
      </c>
      <c r="D98" s="47" t="str">
        <f t="shared" si="5"/>
        <v/>
      </c>
      <c r="E98" s="47" t="str">
        <f t="shared" si="6"/>
        <v/>
      </c>
      <c r="F98" s="62" t="str">
        <f t="shared" si="7"/>
        <v/>
      </c>
      <c r="G98" s="62"/>
    </row>
    <row r="99" spans="1:7">
      <c r="A99">
        <v>92</v>
      </c>
      <c r="B99" s="46"/>
      <c r="C99" s="47" t="str">
        <f t="shared" si="4"/>
        <v/>
      </c>
      <c r="D99" s="47" t="str">
        <f t="shared" si="5"/>
        <v/>
      </c>
      <c r="E99" s="47" t="str">
        <f t="shared" si="6"/>
        <v/>
      </c>
      <c r="F99" s="62" t="str">
        <f t="shared" si="7"/>
        <v/>
      </c>
      <c r="G99" s="62"/>
    </row>
    <row r="100" spans="1:7">
      <c r="A100">
        <v>93</v>
      </c>
      <c r="B100" s="46"/>
      <c r="C100" s="47" t="str">
        <f t="shared" si="4"/>
        <v/>
      </c>
      <c r="D100" s="47" t="str">
        <f t="shared" si="5"/>
        <v/>
      </c>
      <c r="E100" s="47" t="str">
        <f t="shared" si="6"/>
        <v/>
      </c>
      <c r="F100" s="62" t="str">
        <f t="shared" si="7"/>
        <v/>
      </c>
      <c r="G100" s="62"/>
    </row>
    <row r="101" spans="1:7">
      <c r="A101">
        <v>94</v>
      </c>
      <c r="B101" s="46"/>
      <c r="C101" s="47" t="str">
        <f t="shared" si="4"/>
        <v/>
      </c>
      <c r="D101" s="47" t="str">
        <f t="shared" si="5"/>
        <v/>
      </c>
      <c r="E101" s="47" t="str">
        <f t="shared" si="6"/>
        <v/>
      </c>
      <c r="F101" s="62" t="str">
        <f t="shared" si="7"/>
        <v/>
      </c>
      <c r="G101" s="62"/>
    </row>
    <row r="102" spans="1:7">
      <c r="A102">
        <v>95</v>
      </c>
      <c r="B102" s="46"/>
      <c r="C102" s="47" t="str">
        <f t="shared" si="4"/>
        <v/>
      </c>
      <c r="D102" s="47" t="str">
        <f t="shared" si="5"/>
        <v/>
      </c>
      <c r="E102" s="47" t="str">
        <f t="shared" si="6"/>
        <v/>
      </c>
      <c r="F102" s="62" t="str">
        <f t="shared" si="7"/>
        <v/>
      </c>
      <c r="G102" s="62"/>
    </row>
    <row r="103" spans="1:7">
      <c r="A103">
        <v>96</v>
      </c>
      <c r="B103" s="46"/>
      <c r="C103" s="47" t="str">
        <f t="shared" si="4"/>
        <v/>
      </c>
      <c r="D103" s="47" t="str">
        <f t="shared" si="5"/>
        <v/>
      </c>
      <c r="E103" s="47" t="str">
        <f t="shared" si="6"/>
        <v/>
      </c>
      <c r="F103" s="62" t="str">
        <f t="shared" si="7"/>
        <v/>
      </c>
      <c r="G103" s="62"/>
    </row>
    <row r="104" spans="1:7">
      <c r="A104">
        <v>97</v>
      </c>
      <c r="B104" s="46"/>
      <c r="C104" s="47" t="str">
        <f t="shared" si="4"/>
        <v/>
      </c>
      <c r="D104" s="47" t="str">
        <f t="shared" si="5"/>
        <v/>
      </c>
      <c r="E104" s="47" t="str">
        <f t="shared" si="6"/>
        <v/>
      </c>
      <c r="F104" s="62" t="str">
        <f t="shared" si="7"/>
        <v/>
      </c>
      <c r="G104" s="62"/>
    </row>
    <row r="105" spans="1:7">
      <c r="A105">
        <v>98</v>
      </c>
      <c r="B105" s="46"/>
      <c r="C105" s="47" t="str">
        <f t="shared" si="4"/>
        <v/>
      </c>
      <c r="D105" s="47" t="str">
        <f t="shared" si="5"/>
        <v/>
      </c>
      <c r="E105" s="47" t="str">
        <f t="shared" si="6"/>
        <v/>
      </c>
      <c r="F105" s="62" t="str">
        <f t="shared" si="7"/>
        <v/>
      </c>
      <c r="G105" s="62"/>
    </row>
    <row r="106" spans="1:7">
      <c r="A106">
        <v>99</v>
      </c>
      <c r="B106" s="46"/>
      <c r="C106" s="47" t="str">
        <f t="shared" si="4"/>
        <v/>
      </c>
      <c r="D106" s="47" t="str">
        <f t="shared" si="5"/>
        <v/>
      </c>
      <c r="E106" s="47" t="str">
        <f t="shared" si="6"/>
        <v/>
      </c>
      <c r="F106" s="62" t="str">
        <f t="shared" si="7"/>
        <v/>
      </c>
      <c r="G106" s="62"/>
    </row>
    <row r="107" spans="1:7">
      <c r="A107">
        <v>100</v>
      </c>
      <c r="B107" s="46"/>
      <c r="C107" s="47" t="str">
        <f t="shared" si="4"/>
        <v/>
      </c>
      <c r="D107" s="47" t="str">
        <f t="shared" si="5"/>
        <v/>
      </c>
      <c r="E107" s="47" t="str">
        <f t="shared" si="6"/>
        <v/>
      </c>
      <c r="F107" s="62" t="str">
        <f t="shared" si="7"/>
        <v/>
      </c>
      <c r="G107" s="62"/>
    </row>
    <row r="108" spans="1:7">
      <c r="A108">
        <v>101</v>
      </c>
      <c r="B108" s="46"/>
      <c r="C108" s="47" t="str">
        <f t="shared" si="4"/>
        <v/>
      </c>
      <c r="D108" s="47" t="str">
        <f t="shared" si="5"/>
        <v/>
      </c>
      <c r="E108" s="47" t="str">
        <f t="shared" si="6"/>
        <v/>
      </c>
      <c r="F108" s="62" t="str">
        <f t="shared" si="7"/>
        <v/>
      </c>
      <c r="G108" s="62"/>
    </row>
    <row r="109" spans="1:7">
      <c r="A109">
        <v>102</v>
      </c>
      <c r="B109" s="46"/>
      <c r="C109" s="47" t="str">
        <f t="shared" si="4"/>
        <v/>
      </c>
      <c r="D109" s="47" t="str">
        <f t="shared" si="5"/>
        <v/>
      </c>
      <c r="E109" s="47" t="str">
        <f t="shared" si="6"/>
        <v/>
      </c>
      <c r="F109" s="62" t="str">
        <f t="shared" si="7"/>
        <v/>
      </c>
      <c r="G109" s="62"/>
    </row>
    <row r="110" spans="1:7">
      <c r="A110">
        <v>103</v>
      </c>
      <c r="B110" s="46"/>
      <c r="C110" s="47" t="str">
        <f t="shared" si="4"/>
        <v/>
      </c>
      <c r="D110" s="47" t="str">
        <f t="shared" si="5"/>
        <v/>
      </c>
      <c r="E110" s="47" t="str">
        <f t="shared" si="6"/>
        <v/>
      </c>
      <c r="F110" s="62" t="str">
        <f t="shared" si="7"/>
        <v/>
      </c>
      <c r="G110" s="62"/>
    </row>
    <row r="111" spans="1:7">
      <c r="A111">
        <v>104</v>
      </c>
      <c r="B111" s="46"/>
      <c r="C111" s="47" t="str">
        <f t="shared" si="4"/>
        <v/>
      </c>
      <c r="D111" s="47" t="str">
        <f t="shared" si="5"/>
        <v/>
      </c>
      <c r="E111" s="47" t="str">
        <f t="shared" si="6"/>
        <v/>
      </c>
      <c r="F111" s="62" t="str">
        <f t="shared" si="7"/>
        <v/>
      </c>
      <c r="G111" s="62"/>
    </row>
    <row r="112" spans="1:7">
      <c r="A112">
        <v>105</v>
      </c>
      <c r="B112" s="46"/>
      <c r="C112" s="47" t="str">
        <f t="shared" si="4"/>
        <v/>
      </c>
      <c r="D112" s="47" t="str">
        <f t="shared" si="5"/>
        <v/>
      </c>
      <c r="E112" s="47" t="str">
        <f t="shared" si="6"/>
        <v/>
      </c>
      <c r="F112" s="62" t="str">
        <f t="shared" si="7"/>
        <v/>
      </c>
      <c r="G112" s="62"/>
    </row>
    <row r="113" spans="1:7">
      <c r="A113">
        <v>106</v>
      </c>
      <c r="B113" s="46"/>
      <c r="C113" s="47" t="str">
        <f t="shared" si="4"/>
        <v/>
      </c>
      <c r="D113" s="47" t="str">
        <f t="shared" si="5"/>
        <v/>
      </c>
      <c r="E113" s="47" t="str">
        <f t="shared" si="6"/>
        <v/>
      </c>
      <c r="F113" s="62" t="str">
        <f t="shared" si="7"/>
        <v/>
      </c>
      <c r="G113" s="62"/>
    </row>
    <row r="114" spans="1:7">
      <c r="A114">
        <v>107</v>
      </c>
      <c r="B114" s="46"/>
      <c r="C114" s="47" t="str">
        <f t="shared" si="4"/>
        <v/>
      </c>
      <c r="D114" s="47" t="str">
        <f t="shared" si="5"/>
        <v/>
      </c>
      <c r="E114" s="47" t="str">
        <f t="shared" si="6"/>
        <v/>
      </c>
      <c r="F114" s="62" t="str">
        <f t="shared" si="7"/>
        <v/>
      </c>
      <c r="G114" s="62"/>
    </row>
    <row r="115" spans="1:7">
      <c r="A115">
        <v>108</v>
      </c>
      <c r="B115" s="46"/>
      <c r="C115" s="47" t="str">
        <f t="shared" si="4"/>
        <v/>
      </c>
      <c r="D115" s="47" t="str">
        <f t="shared" si="5"/>
        <v/>
      </c>
      <c r="E115" s="47" t="str">
        <f t="shared" si="6"/>
        <v/>
      </c>
      <c r="F115" s="62" t="str">
        <f t="shared" si="7"/>
        <v/>
      </c>
      <c r="G115" s="62"/>
    </row>
    <row r="116" spans="1:7">
      <c r="A116">
        <v>109</v>
      </c>
      <c r="B116" s="46"/>
      <c r="C116" s="47" t="str">
        <f t="shared" si="4"/>
        <v/>
      </c>
      <c r="D116" s="47" t="str">
        <f t="shared" si="5"/>
        <v/>
      </c>
      <c r="E116" s="47" t="str">
        <f t="shared" si="6"/>
        <v/>
      </c>
      <c r="F116" s="62" t="str">
        <f t="shared" si="7"/>
        <v/>
      </c>
      <c r="G116" s="62"/>
    </row>
    <row r="117" spans="1:7">
      <c r="A117">
        <v>110</v>
      </c>
      <c r="B117" s="46"/>
      <c r="C117" s="47" t="str">
        <f t="shared" si="4"/>
        <v/>
      </c>
      <c r="D117" s="47" t="str">
        <f t="shared" si="5"/>
        <v/>
      </c>
      <c r="E117" s="47" t="str">
        <f t="shared" si="6"/>
        <v/>
      </c>
      <c r="F117" s="62" t="str">
        <f t="shared" si="7"/>
        <v/>
      </c>
      <c r="G117" s="62"/>
    </row>
    <row r="118" spans="1:7">
      <c r="A118">
        <v>111</v>
      </c>
      <c r="B118" s="46"/>
      <c r="C118" s="47" t="str">
        <f t="shared" si="4"/>
        <v/>
      </c>
      <c r="D118" s="47" t="str">
        <f t="shared" si="5"/>
        <v/>
      </c>
      <c r="E118" s="47" t="str">
        <f t="shared" si="6"/>
        <v/>
      </c>
      <c r="F118" s="62" t="str">
        <f t="shared" si="7"/>
        <v/>
      </c>
      <c r="G118" s="62"/>
    </row>
    <row r="119" spans="1:7">
      <c r="A119">
        <v>112</v>
      </c>
      <c r="B119" s="46"/>
      <c r="C119" s="47" t="str">
        <f t="shared" si="4"/>
        <v/>
      </c>
      <c r="D119" s="47" t="str">
        <f t="shared" si="5"/>
        <v/>
      </c>
      <c r="E119" s="47" t="str">
        <f t="shared" si="6"/>
        <v/>
      </c>
      <c r="F119" s="62" t="str">
        <f t="shared" si="7"/>
        <v/>
      </c>
      <c r="G119" s="62"/>
    </row>
    <row r="120" spans="1:7">
      <c r="A120">
        <v>113</v>
      </c>
      <c r="B120" s="46"/>
      <c r="C120" s="47" t="str">
        <f t="shared" si="4"/>
        <v/>
      </c>
      <c r="D120" s="47" t="str">
        <f t="shared" si="5"/>
        <v/>
      </c>
      <c r="E120" s="47" t="str">
        <f t="shared" si="6"/>
        <v/>
      </c>
      <c r="F120" s="62" t="str">
        <f t="shared" si="7"/>
        <v/>
      </c>
      <c r="G120" s="62"/>
    </row>
    <row r="121" spans="1:7">
      <c r="A121">
        <v>114</v>
      </c>
      <c r="B121" s="46"/>
      <c r="C121" s="47" t="str">
        <f t="shared" si="4"/>
        <v/>
      </c>
      <c r="D121" s="47" t="str">
        <f t="shared" si="5"/>
        <v/>
      </c>
      <c r="E121" s="47" t="str">
        <f t="shared" si="6"/>
        <v/>
      </c>
      <c r="F121" s="62" t="str">
        <f t="shared" si="7"/>
        <v/>
      </c>
      <c r="G121" s="62"/>
    </row>
    <row r="122" spans="1:7">
      <c r="A122">
        <v>115</v>
      </c>
      <c r="B122" s="46"/>
      <c r="C122" s="47" t="str">
        <f t="shared" si="4"/>
        <v/>
      </c>
      <c r="D122" s="47" t="str">
        <f t="shared" si="5"/>
        <v/>
      </c>
      <c r="E122" s="47" t="str">
        <f t="shared" si="6"/>
        <v/>
      </c>
      <c r="F122" s="62" t="str">
        <f t="shared" si="7"/>
        <v/>
      </c>
      <c r="G122" s="62"/>
    </row>
    <row r="123" spans="1:7">
      <c r="A123">
        <v>116</v>
      </c>
      <c r="B123" s="46"/>
      <c r="C123" s="47" t="str">
        <f t="shared" si="4"/>
        <v/>
      </c>
      <c r="D123" s="47" t="str">
        <f t="shared" si="5"/>
        <v/>
      </c>
      <c r="E123" s="47" t="str">
        <f t="shared" si="6"/>
        <v/>
      </c>
      <c r="F123" s="62" t="str">
        <f t="shared" si="7"/>
        <v/>
      </c>
      <c r="G123" s="62"/>
    </row>
    <row r="124" spans="1:7">
      <c r="A124">
        <v>117</v>
      </c>
      <c r="B124" s="46"/>
      <c r="C124" s="47" t="str">
        <f t="shared" si="4"/>
        <v/>
      </c>
      <c r="D124" s="47" t="str">
        <f t="shared" si="5"/>
        <v/>
      </c>
      <c r="E124" s="47" t="str">
        <f t="shared" si="6"/>
        <v/>
      </c>
      <c r="F124" s="62" t="str">
        <f t="shared" si="7"/>
        <v/>
      </c>
      <c r="G124" s="62"/>
    </row>
    <row r="125" spans="1:7">
      <c r="A125">
        <v>118</v>
      </c>
      <c r="B125" s="46"/>
      <c r="C125" s="47" t="str">
        <f t="shared" si="4"/>
        <v/>
      </c>
      <c r="D125" s="47" t="str">
        <f t="shared" si="5"/>
        <v/>
      </c>
      <c r="E125" s="47" t="str">
        <f t="shared" si="6"/>
        <v/>
      </c>
      <c r="F125" s="62" t="str">
        <f t="shared" si="7"/>
        <v/>
      </c>
      <c r="G125" s="62"/>
    </row>
    <row r="126" spans="1:7">
      <c r="A126">
        <v>119</v>
      </c>
      <c r="B126" s="46"/>
      <c r="C126" s="47" t="str">
        <f t="shared" si="4"/>
        <v/>
      </c>
      <c r="D126" s="47" t="str">
        <f t="shared" si="5"/>
        <v/>
      </c>
      <c r="E126" s="47" t="str">
        <f t="shared" si="6"/>
        <v/>
      </c>
      <c r="F126" s="62" t="str">
        <f t="shared" si="7"/>
        <v/>
      </c>
      <c r="G126" s="62"/>
    </row>
    <row r="127" spans="1:7">
      <c r="A127">
        <v>120</v>
      </c>
      <c r="B127" s="46"/>
      <c r="C127" s="47" t="str">
        <f t="shared" si="4"/>
        <v/>
      </c>
      <c r="D127" s="47" t="str">
        <f t="shared" si="5"/>
        <v/>
      </c>
      <c r="E127" s="47" t="str">
        <f t="shared" si="6"/>
        <v/>
      </c>
      <c r="F127" s="62" t="str">
        <f t="shared" si="7"/>
        <v/>
      </c>
      <c r="G127" s="62"/>
    </row>
    <row r="128" spans="1:7">
      <c r="A128">
        <v>121</v>
      </c>
      <c r="B128" s="46"/>
      <c r="C128" s="47" t="str">
        <f t="shared" si="4"/>
        <v/>
      </c>
      <c r="D128" s="47" t="str">
        <f t="shared" si="5"/>
        <v/>
      </c>
      <c r="E128" s="47" t="str">
        <f t="shared" si="6"/>
        <v/>
      </c>
      <c r="F128" s="62" t="str">
        <f t="shared" si="7"/>
        <v/>
      </c>
      <c r="G128" s="62"/>
    </row>
    <row r="129" spans="1:7">
      <c r="A129">
        <v>122</v>
      </c>
      <c r="B129" s="46"/>
      <c r="C129" s="47" t="str">
        <f t="shared" si="4"/>
        <v/>
      </c>
      <c r="D129" s="47" t="str">
        <f t="shared" si="5"/>
        <v/>
      </c>
      <c r="E129" s="47" t="str">
        <f t="shared" si="6"/>
        <v/>
      </c>
      <c r="F129" s="62" t="str">
        <f t="shared" si="7"/>
        <v/>
      </c>
      <c r="G129" s="62"/>
    </row>
    <row r="130" spans="1:7">
      <c r="A130">
        <v>123</v>
      </c>
      <c r="B130" s="46"/>
      <c r="C130" s="47" t="str">
        <f t="shared" si="4"/>
        <v/>
      </c>
      <c r="D130" s="47" t="str">
        <f t="shared" si="5"/>
        <v/>
      </c>
      <c r="E130" s="47" t="str">
        <f t="shared" si="6"/>
        <v/>
      </c>
      <c r="F130" s="62" t="str">
        <f t="shared" si="7"/>
        <v/>
      </c>
      <c r="G130" s="62"/>
    </row>
    <row r="131" spans="1:7">
      <c r="A131">
        <v>124</v>
      </c>
      <c r="B131" s="46"/>
      <c r="C131" s="47" t="str">
        <f t="shared" si="4"/>
        <v/>
      </c>
      <c r="D131" s="47" t="str">
        <f t="shared" si="5"/>
        <v/>
      </c>
      <c r="E131" s="47" t="str">
        <f t="shared" si="6"/>
        <v/>
      </c>
      <c r="F131" s="62" t="str">
        <f t="shared" si="7"/>
        <v/>
      </c>
      <c r="G131" s="62"/>
    </row>
    <row r="132" spans="1:7">
      <c r="A132">
        <v>125</v>
      </c>
      <c r="B132" s="46"/>
      <c r="C132" s="47" t="str">
        <f t="shared" si="4"/>
        <v/>
      </c>
      <c r="D132" s="47" t="str">
        <f t="shared" si="5"/>
        <v/>
      </c>
      <c r="E132" s="47" t="str">
        <f t="shared" si="6"/>
        <v/>
      </c>
      <c r="F132" s="62" t="str">
        <f t="shared" si="7"/>
        <v/>
      </c>
      <c r="G132" s="62"/>
    </row>
    <row r="133" spans="1:7">
      <c r="A133">
        <v>126</v>
      </c>
      <c r="B133" s="46"/>
      <c r="C133" s="47" t="str">
        <f t="shared" si="4"/>
        <v/>
      </c>
      <c r="D133" s="47" t="str">
        <f t="shared" si="5"/>
        <v/>
      </c>
      <c r="E133" s="47" t="str">
        <f t="shared" si="6"/>
        <v/>
      </c>
      <c r="F133" s="62" t="str">
        <f t="shared" si="7"/>
        <v/>
      </c>
      <c r="G133" s="62"/>
    </row>
    <row r="134" spans="1:7">
      <c r="A134">
        <v>127</v>
      </c>
      <c r="B134" s="46"/>
      <c r="C134" s="47" t="str">
        <f t="shared" si="4"/>
        <v/>
      </c>
      <c r="D134" s="47" t="str">
        <f t="shared" si="5"/>
        <v/>
      </c>
      <c r="E134" s="47" t="str">
        <f t="shared" si="6"/>
        <v/>
      </c>
      <c r="F134" s="62" t="str">
        <f t="shared" si="7"/>
        <v/>
      </c>
      <c r="G134" s="62"/>
    </row>
    <row r="135" spans="1:7">
      <c r="A135">
        <v>128</v>
      </c>
      <c r="B135" s="46"/>
      <c r="C135" s="47" t="str">
        <f t="shared" si="4"/>
        <v/>
      </c>
      <c r="D135" s="47" t="str">
        <f t="shared" si="5"/>
        <v/>
      </c>
      <c r="E135" s="47" t="str">
        <f t="shared" si="6"/>
        <v/>
      </c>
      <c r="F135" s="62" t="str">
        <f t="shared" si="7"/>
        <v/>
      </c>
      <c r="G135" s="62"/>
    </row>
    <row r="136" spans="1:7">
      <c r="A136">
        <v>129</v>
      </c>
      <c r="B136" s="46"/>
      <c r="C136" s="47" t="str">
        <f t="shared" si="4"/>
        <v/>
      </c>
      <c r="D136" s="47" t="str">
        <f t="shared" si="5"/>
        <v/>
      </c>
      <c r="E136" s="47" t="str">
        <f t="shared" si="6"/>
        <v/>
      </c>
      <c r="F136" s="62" t="str">
        <f t="shared" si="7"/>
        <v/>
      </c>
      <c r="G136" s="62"/>
    </row>
    <row r="137" spans="1:7">
      <c r="A137">
        <v>130</v>
      </c>
      <c r="B137" s="46"/>
      <c r="C137" s="47" t="str">
        <f t="shared" ref="C137:C200" si="8">IF(B137&lt;&gt;"",A137/$E$3,"")</f>
        <v/>
      </c>
      <c r="D137" s="47" t="str">
        <f t="shared" ref="D137:D200" si="9">IF(B137&lt;&gt;"",(B137-$E$4)/$E$5,"")</f>
        <v/>
      </c>
      <c r="E137" s="47" t="str">
        <f t="shared" ref="E137:E200" si="10">IF(B137&lt;&gt;"",_xlfn.NORM.S.DIST(D137,TRUE),"")</f>
        <v/>
      </c>
      <c r="F137" s="62" t="str">
        <f t="shared" ref="F137:F200" si="11">IF(B137&lt;&gt;"",ABS(C137-E137),"")</f>
        <v/>
      </c>
      <c r="G137" s="62"/>
    </row>
    <row r="138" spans="1:7">
      <c r="A138">
        <v>131</v>
      </c>
      <c r="B138" s="46"/>
      <c r="C138" s="47" t="str">
        <f t="shared" si="8"/>
        <v/>
      </c>
      <c r="D138" s="47" t="str">
        <f t="shared" si="9"/>
        <v/>
      </c>
      <c r="E138" s="47" t="str">
        <f t="shared" si="10"/>
        <v/>
      </c>
      <c r="F138" s="62" t="str">
        <f t="shared" si="11"/>
        <v/>
      </c>
      <c r="G138" s="62"/>
    </row>
    <row r="139" spans="1:7">
      <c r="A139">
        <v>132</v>
      </c>
      <c r="B139" s="46"/>
      <c r="C139" s="47" t="str">
        <f t="shared" si="8"/>
        <v/>
      </c>
      <c r="D139" s="47" t="str">
        <f t="shared" si="9"/>
        <v/>
      </c>
      <c r="E139" s="47" t="str">
        <f t="shared" si="10"/>
        <v/>
      </c>
      <c r="F139" s="62" t="str">
        <f t="shared" si="11"/>
        <v/>
      </c>
      <c r="G139" s="62"/>
    </row>
    <row r="140" spans="1:7">
      <c r="A140">
        <v>133</v>
      </c>
      <c r="B140" s="46"/>
      <c r="C140" s="47" t="str">
        <f t="shared" si="8"/>
        <v/>
      </c>
      <c r="D140" s="47" t="str">
        <f t="shared" si="9"/>
        <v/>
      </c>
      <c r="E140" s="47" t="str">
        <f t="shared" si="10"/>
        <v/>
      </c>
      <c r="F140" s="62" t="str">
        <f t="shared" si="11"/>
        <v/>
      </c>
      <c r="G140" s="62"/>
    </row>
    <row r="141" spans="1:7">
      <c r="A141">
        <v>134</v>
      </c>
      <c r="B141" s="46"/>
      <c r="C141" s="47" t="str">
        <f t="shared" si="8"/>
        <v/>
      </c>
      <c r="D141" s="47" t="str">
        <f t="shared" si="9"/>
        <v/>
      </c>
      <c r="E141" s="47" t="str">
        <f t="shared" si="10"/>
        <v/>
      </c>
      <c r="F141" s="62" t="str">
        <f t="shared" si="11"/>
        <v/>
      </c>
      <c r="G141" s="62"/>
    </row>
    <row r="142" spans="1:7">
      <c r="A142">
        <v>135</v>
      </c>
      <c r="B142" s="46"/>
      <c r="C142" s="47" t="str">
        <f t="shared" si="8"/>
        <v/>
      </c>
      <c r="D142" s="47" t="str">
        <f t="shared" si="9"/>
        <v/>
      </c>
      <c r="E142" s="47" t="str">
        <f t="shared" si="10"/>
        <v/>
      </c>
      <c r="F142" s="62" t="str">
        <f t="shared" si="11"/>
        <v/>
      </c>
      <c r="G142" s="62"/>
    </row>
    <row r="143" spans="1:7">
      <c r="A143">
        <v>136</v>
      </c>
      <c r="B143" s="46"/>
      <c r="C143" s="47" t="str">
        <f t="shared" si="8"/>
        <v/>
      </c>
      <c r="D143" s="47" t="str">
        <f t="shared" si="9"/>
        <v/>
      </c>
      <c r="E143" s="47" t="str">
        <f t="shared" si="10"/>
        <v/>
      </c>
      <c r="F143" s="62" t="str">
        <f t="shared" si="11"/>
        <v/>
      </c>
      <c r="G143" s="62"/>
    </row>
    <row r="144" spans="1:7">
      <c r="A144">
        <v>137</v>
      </c>
      <c r="B144" s="46"/>
      <c r="C144" s="47" t="str">
        <f t="shared" si="8"/>
        <v/>
      </c>
      <c r="D144" s="47" t="str">
        <f t="shared" si="9"/>
        <v/>
      </c>
      <c r="E144" s="47" t="str">
        <f t="shared" si="10"/>
        <v/>
      </c>
      <c r="F144" s="62" t="str">
        <f t="shared" si="11"/>
        <v/>
      </c>
      <c r="G144" s="62"/>
    </row>
    <row r="145" spans="1:7">
      <c r="A145">
        <v>138</v>
      </c>
      <c r="B145" s="46"/>
      <c r="C145" s="47" t="str">
        <f t="shared" si="8"/>
        <v/>
      </c>
      <c r="D145" s="47" t="str">
        <f t="shared" si="9"/>
        <v/>
      </c>
      <c r="E145" s="47" t="str">
        <f t="shared" si="10"/>
        <v/>
      </c>
      <c r="F145" s="62" t="str">
        <f t="shared" si="11"/>
        <v/>
      </c>
      <c r="G145" s="62"/>
    </row>
    <row r="146" spans="1:7">
      <c r="A146">
        <v>139</v>
      </c>
      <c r="B146" s="46"/>
      <c r="C146" s="47" t="str">
        <f t="shared" si="8"/>
        <v/>
      </c>
      <c r="D146" s="47" t="str">
        <f t="shared" si="9"/>
        <v/>
      </c>
      <c r="E146" s="47" t="str">
        <f t="shared" si="10"/>
        <v/>
      </c>
      <c r="F146" s="62" t="str">
        <f t="shared" si="11"/>
        <v/>
      </c>
      <c r="G146" s="62"/>
    </row>
    <row r="147" spans="1:7">
      <c r="A147">
        <v>140</v>
      </c>
      <c r="B147" s="46"/>
      <c r="C147" s="47" t="str">
        <f t="shared" si="8"/>
        <v/>
      </c>
      <c r="D147" s="47" t="str">
        <f t="shared" si="9"/>
        <v/>
      </c>
      <c r="E147" s="47" t="str">
        <f t="shared" si="10"/>
        <v/>
      </c>
      <c r="F147" s="62" t="str">
        <f t="shared" si="11"/>
        <v/>
      </c>
      <c r="G147" s="62"/>
    </row>
    <row r="148" spans="1:7">
      <c r="A148">
        <v>141</v>
      </c>
      <c r="B148" s="46"/>
      <c r="C148" s="47" t="str">
        <f t="shared" si="8"/>
        <v/>
      </c>
      <c r="D148" s="47" t="str">
        <f t="shared" si="9"/>
        <v/>
      </c>
      <c r="E148" s="47" t="str">
        <f t="shared" si="10"/>
        <v/>
      </c>
      <c r="F148" s="62" t="str">
        <f t="shared" si="11"/>
        <v/>
      </c>
      <c r="G148" s="62"/>
    </row>
    <row r="149" spans="1:7">
      <c r="A149">
        <v>142</v>
      </c>
      <c r="B149" s="46"/>
      <c r="C149" s="47" t="str">
        <f t="shared" si="8"/>
        <v/>
      </c>
      <c r="D149" s="47" t="str">
        <f t="shared" si="9"/>
        <v/>
      </c>
      <c r="E149" s="47" t="str">
        <f t="shared" si="10"/>
        <v/>
      </c>
      <c r="F149" s="62" t="str">
        <f t="shared" si="11"/>
        <v/>
      </c>
      <c r="G149" s="62"/>
    </row>
    <row r="150" spans="1:7">
      <c r="A150">
        <v>143</v>
      </c>
      <c r="B150" s="46"/>
      <c r="C150" s="47" t="str">
        <f t="shared" si="8"/>
        <v/>
      </c>
      <c r="D150" s="47" t="str">
        <f t="shared" si="9"/>
        <v/>
      </c>
      <c r="E150" s="47" t="str">
        <f t="shared" si="10"/>
        <v/>
      </c>
      <c r="F150" s="62" t="str">
        <f t="shared" si="11"/>
        <v/>
      </c>
      <c r="G150" s="62"/>
    </row>
    <row r="151" spans="1:7">
      <c r="A151">
        <v>144</v>
      </c>
      <c r="B151" s="46"/>
      <c r="C151" s="47" t="str">
        <f t="shared" si="8"/>
        <v/>
      </c>
      <c r="D151" s="47" t="str">
        <f t="shared" si="9"/>
        <v/>
      </c>
      <c r="E151" s="47" t="str">
        <f t="shared" si="10"/>
        <v/>
      </c>
      <c r="F151" s="62" t="str">
        <f t="shared" si="11"/>
        <v/>
      </c>
      <c r="G151" s="62"/>
    </row>
    <row r="152" spans="1:7">
      <c r="A152">
        <v>145</v>
      </c>
      <c r="B152" s="46"/>
      <c r="C152" s="47" t="str">
        <f t="shared" si="8"/>
        <v/>
      </c>
      <c r="D152" s="47" t="str">
        <f t="shared" si="9"/>
        <v/>
      </c>
      <c r="E152" s="47" t="str">
        <f t="shared" si="10"/>
        <v/>
      </c>
      <c r="F152" s="62" t="str">
        <f t="shared" si="11"/>
        <v/>
      </c>
      <c r="G152" s="62"/>
    </row>
    <row r="153" spans="1:7">
      <c r="A153">
        <v>146</v>
      </c>
      <c r="B153" s="46"/>
      <c r="C153" s="47" t="str">
        <f t="shared" si="8"/>
        <v/>
      </c>
      <c r="D153" s="47" t="str">
        <f t="shared" si="9"/>
        <v/>
      </c>
      <c r="E153" s="47" t="str">
        <f t="shared" si="10"/>
        <v/>
      </c>
      <c r="F153" s="62" t="str">
        <f t="shared" si="11"/>
        <v/>
      </c>
      <c r="G153" s="62"/>
    </row>
    <row r="154" spans="1:7">
      <c r="A154">
        <v>147</v>
      </c>
      <c r="B154" s="46"/>
      <c r="C154" s="47" t="str">
        <f t="shared" si="8"/>
        <v/>
      </c>
      <c r="D154" s="47" t="str">
        <f t="shared" si="9"/>
        <v/>
      </c>
      <c r="E154" s="47" t="str">
        <f t="shared" si="10"/>
        <v/>
      </c>
      <c r="F154" s="62" t="str">
        <f t="shared" si="11"/>
        <v/>
      </c>
      <c r="G154" s="62"/>
    </row>
    <row r="155" spans="1:7">
      <c r="A155">
        <v>148</v>
      </c>
      <c r="B155" s="46"/>
      <c r="C155" s="47" t="str">
        <f t="shared" si="8"/>
        <v/>
      </c>
      <c r="D155" s="47" t="str">
        <f t="shared" si="9"/>
        <v/>
      </c>
      <c r="E155" s="47" t="str">
        <f t="shared" si="10"/>
        <v/>
      </c>
      <c r="F155" s="62" t="str">
        <f t="shared" si="11"/>
        <v/>
      </c>
      <c r="G155" s="62"/>
    </row>
    <row r="156" spans="1:7">
      <c r="A156">
        <v>149</v>
      </c>
      <c r="B156" s="46"/>
      <c r="C156" s="47" t="str">
        <f t="shared" si="8"/>
        <v/>
      </c>
      <c r="D156" s="47" t="str">
        <f t="shared" si="9"/>
        <v/>
      </c>
      <c r="E156" s="47" t="str">
        <f t="shared" si="10"/>
        <v/>
      </c>
      <c r="F156" s="62" t="str">
        <f t="shared" si="11"/>
        <v/>
      </c>
      <c r="G156" s="62"/>
    </row>
    <row r="157" spans="1:7">
      <c r="A157">
        <v>150</v>
      </c>
      <c r="B157" s="46"/>
      <c r="C157" s="47" t="str">
        <f t="shared" si="8"/>
        <v/>
      </c>
      <c r="D157" s="47" t="str">
        <f t="shared" si="9"/>
        <v/>
      </c>
      <c r="E157" s="47" t="str">
        <f t="shared" si="10"/>
        <v/>
      </c>
      <c r="F157" s="62" t="str">
        <f t="shared" si="11"/>
        <v/>
      </c>
      <c r="G157" s="62"/>
    </row>
    <row r="158" spans="1:7">
      <c r="A158">
        <v>151</v>
      </c>
      <c r="B158" s="46"/>
      <c r="C158" s="47" t="str">
        <f t="shared" si="8"/>
        <v/>
      </c>
      <c r="D158" s="47" t="str">
        <f t="shared" si="9"/>
        <v/>
      </c>
      <c r="E158" s="47" t="str">
        <f t="shared" si="10"/>
        <v/>
      </c>
      <c r="F158" s="62" t="str">
        <f t="shared" si="11"/>
        <v/>
      </c>
      <c r="G158" s="62"/>
    </row>
    <row r="159" spans="1:7">
      <c r="A159">
        <v>152</v>
      </c>
      <c r="B159" s="46"/>
      <c r="C159" s="47" t="str">
        <f t="shared" si="8"/>
        <v/>
      </c>
      <c r="D159" s="47" t="str">
        <f t="shared" si="9"/>
        <v/>
      </c>
      <c r="E159" s="47" t="str">
        <f t="shared" si="10"/>
        <v/>
      </c>
      <c r="F159" s="62" t="str">
        <f t="shared" si="11"/>
        <v/>
      </c>
      <c r="G159" s="62"/>
    </row>
    <row r="160" spans="1:7">
      <c r="A160">
        <v>153</v>
      </c>
      <c r="B160" s="46"/>
      <c r="C160" s="47" t="str">
        <f t="shared" si="8"/>
        <v/>
      </c>
      <c r="D160" s="47" t="str">
        <f t="shared" si="9"/>
        <v/>
      </c>
      <c r="E160" s="47" t="str">
        <f t="shared" si="10"/>
        <v/>
      </c>
      <c r="F160" s="62" t="str">
        <f t="shared" si="11"/>
        <v/>
      </c>
      <c r="G160" s="62"/>
    </row>
    <row r="161" spans="1:7">
      <c r="A161">
        <v>154</v>
      </c>
      <c r="B161" s="46"/>
      <c r="C161" s="47" t="str">
        <f t="shared" si="8"/>
        <v/>
      </c>
      <c r="D161" s="47" t="str">
        <f t="shared" si="9"/>
        <v/>
      </c>
      <c r="E161" s="47" t="str">
        <f t="shared" si="10"/>
        <v/>
      </c>
      <c r="F161" s="62" t="str">
        <f t="shared" si="11"/>
        <v/>
      </c>
      <c r="G161" s="62"/>
    </row>
    <row r="162" spans="1:7">
      <c r="A162">
        <v>155</v>
      </c>
      <c r="B162" s="46"/>
      <c r="C162" s="47" t="str">
        <f t="shared" si="8"/>
        <v/>
      </c>
      <c r="D162" s="47" t="str">
        <f t="shared" si="9"/>
        <v/>
      </c>
      <c r="E162" s="47" t="str">
        <f t="shared" si="10"/>
        <v/>
      </c>
      <c r="F162" s="62" t="str">
        <f t="shared" si="11"/>
        <v/>
      </c>
      <c r="G162" s="62"/>
    </row>
    <row r="163" spans="1:7">
      <c r="A163">
        <v>156</v>
      </c>
      <c r="B163" s="46"/>
      <c r="C163" s="47" t="str">
        <f t="shared" si="8"/>
        <v/>
      </c>
      <c r="D163" s="47" t="str">
        <f t="shared" si="9"/>
        <v/>
      </c>
      <c r="E163" s="47" t="str">
        <f t="shared" si="10"/>
        <v/>
      </c>
      <c r="F163" s="62" t="str">
        <f t="shared" si="11"/>
        <v/>
      </c>
      <c r="G163" s="62"/>
    </row>
    <row r="164" spans="1:7">
      <c r="A164">
        <v>157</v>
      </c>
      <c r="B164" s="46"/>
      <c r="C164" s="47" t="str">
        <f t="shared" si="8"/>
        <v/>
      </c>
      <c r="D164" s="47" t="str">
        <f t="shared" si="9"/>
        <v/>
      </c>
      <c r="E164" s="47" t="str">
        <f t="shared" si="10"/>
        <v/>
      </c>
      <c r="F164" s="62" t="str">
        <f t="shared" si="11"/>
        <v/>
      </c>
      <c r="G164" s="62"/>
    </row>
    <row r="165" spans="1:7">
      <c r="A165">
        <v>158</v>
      </c>
      <c r="B165" s="46"/>
      <c r="C165" s="47" t="str">
        <f t="shared" si="8"/>
        <v/>
      </c>
      <c r="D165" s="47" t="str">
        <f t="shared" si="9"/>
        <v/>
      </c>
      <c r="E165" s="47" t="str">
        <f t="shared" si="10"/>
        <v/>
      </c>
      <c r="F165" s="62" t="str">
        <f t="shared" si="11"/>
        <v/>
      </c>
      <c r="G165" s="62"/>
    </row>
    <row r="166" spans="1:7">
      <c r="A166">
        <v>159</v>
      </c>
      <c r="B166" s="46"/>
      <c r="C166" s="47" t="str">
        <f t="shared" si="8"/>
        <v/>
      </c>
      <c r="D166" s="47" t="str">
        <f t="shared" si="9"/>
        <v/>
      </c>
      <c r="E166" s="47" t="str">
        <f t="shared" si="10"/>
        <v/>
      </c>
      <c r="F166" s="62" t="str">
        <f t="shared" si="11"/>
        <v/>
      </c>
      <c r="G166" s="62"/>
    </row>
    <row r="167" spans="1:7">
      <c r="A167">
        <v>160</v>
      </c>
      <c r="B167" s="46"/>
      <c r="C167" s="47" t="str">
        <f t="shared" si="8"/>
        <v/>
      </c>
      <c r="D167" s="47" t="str">
        <f t="shared" si="9"/>
        <v/>
      </c>
      <c r="E167" s="47" t="str">
        <f t="shared" si="10"/>
        <v/>
      </c>
      <c r="F167" s="62" t="str">
        <f t="shared" si="11"/>
        <v/>
      </c>
      <c r="G167" s="62"/>
    </row>
    <row r="168" spans="1:7">
      <c r="A168">
        <v>161</v>
      </c>
      <c r="B168" s="46"/>
      <c r="C168" s="47" t="str">
        <f t="shared" si="8"/>
        <v/>
      </c>
      <c r="D168" s="47" t="str">
        <f t="shared" si="9"/>
        <v/>
      </c>
      <c r="E168" s="47" t="str">
        <f t="shared" si="10"/>
        <v/>
      </c>
      <c r="F168" s="62" t="str">
        <f t="shared" si="11"/>
        <v/>
      </c>
      <c r="G168" s="62"/>
    </row>
    <row r="169" spans="1:7">
      <c r="A169">
        <v>162</v>
      </c>
      <c r="B169" s="46"/>
      <c r="C169" s="47" t="str">
        <f t="shared" si="8"/>
        <v/>
      </c>
      <c r="D169" s="47" t="str">
        <f t="shared" si="9"/>
        <v/>
      </c>
      <c r="E169" s="47" t="str">
        <f t="shared" si="10"/>
        <v/>
      </c>
      <c r="F169" s="62" t="str">
        <f t="shared" si="11"/>
        <v/>
      </c>
      <c r="G169" s="62"/>
    </row>
    <row r="170" spans="1:7">
      <c r="A170">
        <v>163</v>
      </c>
      <c r="B170" s="46"/>
      <c r="C170" s="47" t="str">
        <f t="shared" si="8"/>
        <v/>
      </c>
      <c r="D170" s="47" t="str">
        <f t="shared" si="9"/>
        <v/>
      </c>
      <c r="E170" s="47" t="str">
        <f t="shared" si="10"/>
        <v/>
      </c>
      <c r="F170" s="62" t="str">
        <f t="shared" si="11"/>
        <v/>
      </c>
      <c r="G170" s="62"/>
    </row>
    <row r="171" spans="1:7">
      <c r="A171">
        <v>164</v>
      </c>
      <c r="B171" s="46"/>
      <c r="C171" s="47" t="str">
        <f t="shared" si="8"/>
        <v/>
      </c>
      <c r="D171" s="47" t="str">
        <f t="shared" si="9"/>
        <v/>
      </c>
      <c r="E171" s="47" t="str">
        <f t="shared" si="10"/>
        <v/>
      </c>
      <c r="F171" s="62" t="str">
        <f t="shared" si="11"/>
        <v/>
      </c>
      <c r="G171" s="62"/>
    </row>
    <row r="172" spans="1:7">
      <c r="A172">
        <v>165</v>
      </c>
      <c r="B172" s="46"/>
      <c r="C172" s="47" t="str">
        <f t="shared" si="8"/>
        <v/>
      </c>
      <c r="D172" s="47" t="str">
        <f t="shared" si="9"/>
        <v/>
      </c>
      <c r="E172" s="47" t="str">
        <f t="shared" si="10"/>
        <v/>
      </c>
      <c r="F172" s="62" t="str">
        <f t="shared" si="11"/>
        <v/>
      </c>
      <c r="G172" s="62"/>
    </row>
    <row r="173" spans="1:7">
      <c r="A173">
        <v>166</v>
      </c>
      <c r="B173" s="46"/>
      <c r="C173" s="47" t="str">
        <f t="shared" si="8"/>
        <v/>
      </c>
      <c r="D173" s="47" t="str">
        <f t="shared" si="9"/>
        <v/>
      </c>
      <c r="E173" s="47" t="str">
        <f t="shared" si="10"/>
        <v/>
      </c>
      <c r="F173" s="62" t="str">
        <f t="shared" si="11"/>
        <v/>
      </c>
      <c r="G173" s="62"/>
    </row>
    <row r="174" spans="1:7">
      <c r="A174">
        <v>167</v>
      </c>
      <c r="B174" s="46"/>
      <c r="C174" s="47" t="str">
        <f t="shared" si="8"/>
        <v/>
      </c>
      <c r="D174" s="47" t="str">
        <f t="shared" si="9"/>
        <v/>
      </c>
      <c r="E174" s="47" t="str">
        <f t="shared" si="10"/>
        <v/>
      </c>
      <c r="F174" s="62" t="str">
        <f t="shared" si="11"/>
        <v/>
      </c>
      <c r="G174" s="62"/>
    </row>
    <row r="175" spans="1:7">
      <c r="A175">
        <v>168</v>
      </c>
      <c r="B175" s="46"/>
      <c r="C175" s="47" t="str">
        <f t="shared" si="8"/>
        <v/>
      </c>
      <c r="D175" s="47" t="str">
        <f t="shared" si="9"/>
        <v/>
      </c>
      <c r="E175" s="47" t="str">
        <f t="shared" si="10"/>
        <v/>
      </c>
      <c r="F175" s="62" t="str">
        <f t="shared" si="11"/>
        <v/>
      </c>
      <c r="G175" s="62"/>
    </row>
    <row r="176" spans="1:7">
      <c r="A176">
        <v>169</v>
      </c>
      <c r="B176" s="46"/>
      <c r="C176" s="47" t="str">
        <f t="shared" si="8"/>
        <v/>
      </c>
      <c r="D176" s="47" t="str">
        <f t="shared" si="9"/>
        <v/>
      </c>
      <c r="E176" s="47" t="str">
        <f t="shared" si="10"/>
        <v/>
      </c>
      <c r="F176" s="62" t="str">
        <f t="shared" si="11"/>
        <v/>
      </c>
      <c r="G176" s="62"/>
    </row>
    <row r="177" spans="1:7">
      <c r="A177">
        <v>170</v>
      </c>
      <c r="B177" s="46"/>
      <c r="C177" s="47" t="str">
        <f t="shared" si="8"/>
        <v/>
      </c>
      <c r="D177" s="47" t="str">
        <f t="shared" si="9"/>
        <v/>
      </c>
      <c r="E177" s="47" t="str">
        <f t="shared" si="10"/>
        <v/>
      </c>
      <c r="F177" s="62" t="str">
        <f t="shared" si="11"/>
        <v/>
      </c>
      <c r="G177" s="62"/>
    </row>
    <row r="178" spans="1:7">
      <c r="A178">
        <v>171</v>
      </c>
      <c r="B178" s="46"/>
      <c r="C178" s="47" t="str">
        <f t="shared" si="8"/>
        <v/>
      </c>
      <c r="D178" s="47" t="str">
        <f t="shared" si="9"/>
        <v/>
      </c>
      <c r="E178" s="47" t="str">
        <f t="shared" si="10"/>
        <v/>
      </c>
      <c r="F178" s="62" t="str">
        <f t="shared" si="11"/>
        <v/>
      </c>
      <c r="G178" s="62"/>
    </row>
    <row r="179" spans="1:7">
      <c r="A179">
        <v>172</v>
      </c>
      <c r="B179" s="46"/>
      <c r="C179" s="47" t="str">
        <f t="shared" si="8"/>
        <v/>
      </c>
      <c r="D179" s="47" t="str">
        <f t="shared" si="9"/>
        <v/>
      </c>
      <c r="E179" s="47" t="str">
        <f t="shared" si="10"/>
        <v/>
      </c>
      <c r="F179" s="62" t="str">
        <f t="shared" si="11"/>
        <v/>
      </c>
      <c r="G179" s="62"/>
    </row>
    <row r="180" spans="1:7">
      <c r="A180">
        <v>173</v>
      </c>
      <c r="B180" s="46"/>
      <c r="C180" s="47" t="str">
        <f t="shared" si="8"/>
        <v/>
      </c>
      <c r="D180" s="47" t="str">
        <f t="shared" si="9"/>
        <v/>
      </c>
      <c r="E180" s="47" t="str">
        <f t="shared" si="10"/>
        <v/>
      </c>
      <c r="F180" s="62" t="str">
        <f t="shared" si="11"/>
        <v/>
      </c>
      <c r="G180" s="62"/>
    </row>
    <row r="181" spans="1:7">
      <c r="A181">
        <v>174</v>
      </c>
      <c r="B181" s="46"/>
      <c r="C181" s="47" t="str">
        <f t="shared" si="8"/>
        <v/>
      </c>
      <c r="D181" s="47" t="str">
        <f t="shared" si="9"/>
        <v/>
      </c>
      <c r="E181" s="47" t="str">
        <f t="shared" si="10"/>
        <v/>
      </c>
      <c r="F181" s="62" t="str">
        <f t="shared" si="11"/>
        <v/>
      </c>
      <c r="G181" s="62"/>
    </row>
    <row r="182" spans="1:7">
      <c r="A182">
        <v>175</v>
      </c>
      <c r="B182" s="46"/>
      <c r="C182" s="47" t="str">
        <f t="shared" si="8"/>
        <v/>
      </c>
      <c r="D182" s="47" t="str">
        <f t="shared" si="9"/>
        <v/>
      </c>
      <c r="E182" s="47" t="str">
        <f t="shared" si="10"/>
        <v/>
      </c>
      <c r="F182" s="62" t="str">
        <f t="shared" si="11"/>
        <v/>
      </c>
      <c r="G182" s="62"/>
    </row>
    <row r="183" spans="1:7">
      <c r="A183">
        <v>176</v>
      </c>
      <c r="B183" s="46"/>
      <c r="C183" s="47" t="str">
        <f t="shared" si="8"/>
        <v/>
      </c>
      <c r="D183" s="47" t="str">
        <f t="shared" si="9"/>
        <v/>
      </c>
      <c r="E183" s="47" t="str">
        <f t="shared" si="10"/>
        <v/>
      </c>
      <c r="F183" s="62" t="str">
        <f t="shared" si="11"/>
        <v/>
      </c>
      <c r="G183" s="62"/>
    </row>
    <row r="184" spans="1:7">
      <c r="A184">
        <v>177</v>
      </c>
      <c r="B184" s="46"/>
      <c r="C184" s="47" t="str">
        <f t="shared" si="8"/>
        <v/>
      </c>
      <c r="D184" s="47" t="str">
        <f t="shared" si="9"/>
        <v/>
      </c>
      <c r="E184" s="47" t="str">
        <f t="shared" si="10"/>
        <v/>
      </c>
      <c r="F184" s="62" t="str">
        <f t="shared" si="11"/>
        <v/>
      </c>
      <c r="G184" s="62"/>
    </row>
    <row r="185" spans="1:7">
      <c r="A185">
        <v>178</v>
      </c>
      <c r="B185" s="46"/>
      <c r="C185" s="47" t="str">
        <f t="shared" si="8"/>
        <v/>
      </c>
      <c r="D185" s="47" t="str">
        <f t="shared" si="9"/>
        <v/>
      </c>
      <c r="E185" s="47" t="str">
        <f t="shared" si="10"/>
        <v/>
      </c>
      <c r="F185" s="62" t="str">
        <f t="shared" si="11"/>
        <v/>
      </c>
      <c r="G185" s="62"/>
    </row>
    <row r="186" spans="1:7">
      <c r="A186">
        <v>179</v>
      </c>
      <c r="B186" s="46"/>
      <c r="C186" s="47" t="str">
        <f t="shared" si="8"/>
        <v/>
      </c>
      <c r="D186" s="47" t="str">
        <f t="shared" si="9"/>
        <v/>
      </c>
      <c r="E186" s="47" t="str">
        <f t="shared" si="10"/>
        <v/>
      </c>
      <c r="F186" s="62" t="str">
        <f t="shared" si="11"/>
        <v/>
      </c>
      <c r="G186" s="62"/>
    </row>
    <row r="187" spans="1:7">
      <c r="A187">
        <v>180</v>
      </c>
      <c r="B187" s="46"/>
      <c r="C187" s="47" t="str">
        <f t="shared" si="8"/>
        <v/>
      </c>
      <c r="D187" s="47" t="str">
        <f t="shared" si="9"/>
        <v/>
      </c>
      <c r="E187" s="47" t="str">
        <f t="shared" si="10"/>
        <v/>
      </c>
      <c r="F187" s="62" t="str">
        <f t="shared" si="11"/>
        <v/>
      </c>
      <c r="G187" s="62"/>
    </row>
    <row r="188" spans="1:7">
      <c r="A188">
        <v>181</v>
      </c>
      <c r="B188" s="46"/>
      <c r="C188" s="47" t="str">
        <f t="shared" si="8"/>
        <v/>
      </c>
      <c r="D188" s="47" t="str">
        <f t="shared" si="9"/>
        <v/>
      </c>
      <c r="E188" s="47" t="str">
        <f t="shared" si="10"/>
        <v/>
      </c>
      <c r="F188" s="62" t="str">
        <f t="shared" si="11"/>
        <v/>
      </c>
      <c r="G188" s="62"/>
    </row>
    <row r="189" spans="1:7">
      <c r="A189">
        <v>182</v>
      </c>
      <c r="B189" s="46"/>
      <c r="C189" s="47" t="str">
        <f t="shared" si="8"/>
        <v/>
      </c>
      <c r="D189" s="47" t="str">
        <f t="shared" si="9"/>
        <v/>
      </c>
      <c r="E189" s="47" t="str">
        <f t="shared" si="10"/>
        <v/>
      </c>
      <c r="F189" s="62" t="str">
        <f t="shared" si="11"/>
        <v/>
      </c>
      <c r="G189" s="62"/>
    </row>
    <row r="190" spans="1:7">
      <c r="A190">
        <v>183</v>
      </c>
      <c r="B190" s="46"/>
      <c r="C190" s="47" t="str">
        <f t="shared" si="8"/>
        <v/>
      </c>
      <c r="D190" s="47" t="str">
        <f t="shared" si="9"/>
        <v/>
      </c>
      <c r="E190" s="47" t="str">
        <f t="shared" si="10"/>
        <v/>
      </c>
      <c r="F190" s="62" t="str">
        <f t="shared" si="11"/>
        <v/>
      </c>
      <c r="G190" s="62"/>
    </row>
    <row r="191" spans="1:7">
      <c r="A191">
        <v>184</v>
      </c>
      <c r="B191" s="46"/>
      <c r="C191" s="47" t="str">
        <f t="shared" si="8"/>
        <v/>
      </c>
      <c r="D191" s="47" t="str">
        <f t="shared" si="9"/>
        <v/>
      </c>
      <c r="E191" s="47" t="str">
        <f t="shared" si="10"/>
        <v/>
      </c>
      <c r="F191" s="62" t="str">
        <f t="shared" si="11"/>
        <v/>
      </c>
      <c r="G191" s="62"/>
    </row>
    <row r="192" spans="1:7">
      <c r="A192">
        <v>185</v>
      </c>
      <c r="B192" s="46"/>
      <c r="C192" s="47" t="str">
        <f t="shared" si="8"/>
        <v/>
      </c>
      <c r="D192" s="47" t="str">
        <f t="shared" si="9"/>
        <v/>
      </c>
      <c r="E192" s="47" t="str">
        <f t="shared" si="10"/>
        <v/>
      </c>
      <c r="F192" s="62" t="str">
        <f t="shared" si="11"/>
        <v/>
      </c>
      <c r="G192" s="62"/>
    </row>
    <row r="193" spans="1:7">
      <c r="A193">
        <v>186</v>
      </c>
      <c r="B193" s="46"/>
      <c r="C193" s="47" t="str">
        <f t="shared" si="8"/>
        <v/>
      </c>
      <c r="D193" s="47" t="str">
        <f t="shared" si="9"/>
        <v/>
      </c>
      <c r="E193" s="47" t="str">
        <f t="shared" si="10"/>
        <v/>
      </c>
      <c r="F193" s="62" t="str">
        <f t="shared" si="11"/>
        <v/>
      </c>
      <c r="G193" s="62"/>
    </row>
    <row r="194" spans="1:7">
      <c r="A194">
        <v>187</v>
      </c>
      <c r="B194" s="46"/>
      <c r="C194" s="47" t="str">
        <f t="shared" si="8"/>
        <v/>
      </c>
      <c r="D194" s="47" t="str">
        <f t="shared" si="9"/>
        <v/>
      </c>
      <c r="E194" s="47" t="str">
        <f t="shared" si="10"/>
        <v/>
      </c>
      <c r="F194" s="62" t="str">
        <f t="shared" si="11"/>
        <v/>
      </c>
      <c r="G194" s="62"/>
    </row>
    <row r="195" spans="1:7">
      <c r="A195">
        <v>188</v>
      </c>
      <c r="B195" s="46"/>
      <c r="C195" s="47" t="str">
        <f t="shared" si="8"/>
        <v/>
      </c>
      <c r="D195" s="47" t="str">
        <f t="shared" si="9"/>
        <v/>
      </c>
      <c r="E195" s="47" t="str">
        <f t="shared" si="10"/>
        <v/>
      </c>
      <c r="F195" s="62" t="str">
        <f t="shared" si="11"/>
        <v/>
      </c>
      <c r="G195" s="62"/>
    </row>
    <row r="196" spans="1:7">
      <c r="A196">
        <v>189</v>
      </c>
      <c r="B196" s="46"/>
      <c r="C196" s="47" t="str">
        <f t="shared" si="8"/>
        <v/>
      </c>
      <c r="D196" s="47" t="str">
        <f t="shared" si="9"/>
        <v/>
      </c>
      <c r="E196" s="47" t="str">
        <f t="shared" si="10"/>
        <v/>
      </c>
      <c r="F196" s="62" t="str">
        <f t="shared" si="11"/>
        <v/>
      </c>
      <c r="G196" s="62"/>
    </row>
    <row r="197" spans="1:7">
      <c r="A197">
        <v>190</v>
      </c>
      <c r="B197" s="46"/>
      <c r="C197" s="47" t="str">
        <f t="shared" si="8"/>
        <v/>
      </c>
      <c r="D197" s="47" t="str">
        <f t="shared" si="9"/>
        <v/>
      </c>
      <c r="E197" s="47" t="str">
        <f t="shared" si="10"/>
        <v/>
      </c>
      <c r="F197" s="62" t="str">
        <f t="shared" si="11"/>
        <v/>
      </c>
      <c r="G197" s="62"/>
    </row>
    <row r="198" spans="1:7">
      <c r="A198">
        <v>191</v>
      </c>
      <c r="B198" s="46"/>
      <c r="C198" s="47" t="str">
        <f t="shared" si="8"/>
        <v/>
      </c>
      <c r="D198" s="47" t="str">
        <f t="shared" si="9"/>
        <v/>
      </c>
      <c r="E198" s="47" t="str">
        <f t="shared" si="10"/>
        <v/>
      </c>
      <c r="F198" s="62" t="str">
        <f t="shared" si="11"/>
        <v/>
      </c>
      <c r="G198" s="62"/>
    </row>
    <row r="199" spans="1:7">
      <c r="A199">
        <v>192</v>
      </c>
      <c r="B199" s="46"/>
      <c r="C199" s="47" t="str">
        <f t="shared" si="8"/>
        <v/>
      </c>
      <c r="D199" s="47" t="str">
        <f t="shared" si="9"/>
        <v/>
      </c>
      <c r="E199" s="47" t="str">
        <f t="shared" si="10"/>
        <v/>
      </c>
      <c r="F199" s="62" t="str">
        <f t="shared" si="11"/>
        <v/>
      </c>
      <c r="G199" s="62"/>
    </row>
    <row r="200" spans="1:7">
      <c r="A200">
        <v>193</v>
      </c>
      <c r="B200" s="46"/>
      <c r="C200" s="47" t="str">
        <f t="shared" si="8"/>
        <v/>
      </c>
      <c r="D200" s="47" t="str">
        <f t="shared" si="9"/>
        <v/>
      </c>
      <c r="E200" s="47" t="str">
        <f t="shared" si="10"/>
        <v/>
      </c>
      <c r="F200" s="62" t="str">
        <f t="shared" si="11"/>
        <v/>
      </c>
      <c r="G200" s="62"/>
    </row>
  </sheetData>
  <sortState xmlns:xlrd2="http://schemas.microsoft.com/office/spreadsheetml/2017/richdata2" ref="B8:B200">
    <sortCondition ref="B8:B200"/>
  </sortState>
  <mergeCells count="201">
    <mergeCell ref="F200:G200"/>
    <mergeCell ref="I3:R4"/>
    <mergeCell ref="I5:P5"/>
    <mergeCell ref="F194:G19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93:G193"/>
    <mergeCell ref="F182:G18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81:G181"/>
    <mergeCell ref="F170:G17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69:G169"/>
    <mergeCell ref="F158:G15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57:G157"/>
    <mergeCell ref="F146:G14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45:G145"/>
    <mergeCell ref="F134:G13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33:G133"/>
    <mergeCell ref="F122:G12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21:G121"/>
    <mergeCell ref="F110:G11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109:G109"/>
    <mergeCell ref="F98:G9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97:G97"/>
    <mergeCell ref="F86:G8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85:G85"/>
    <mergeCell ref="F74:G7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73:G73"/>
    <mergeCell ref="F62:G6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61:G61"/>
    <mergeCell ref="F50:G5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49:G49"/>
    <mergeCell ref="F38:G3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37:G37"/>
    <mergeCell ref="F26:G2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25:G25"/>
    <mergeCell ref="L13:P1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B2:P2"/>
    <mergeCell ref="F5:G5"/>
    <mergeCell ref="D6:E6"/>
    <mergeCell ref="F6:G7"/>
    <mergeCell ref="D7:E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FACUFIAUDITORIO</cp:lastModifiedBy>
  <dcterms:created xsi:type="dcterms:W3CDTF">2020-06-30T22:17:31Z</dcterms:created>
  <dcterms:modified xsi:type="dcterms:W3CDTF">2022-09-30T15:27:53Z</dcterms:modified>
</cp:coreProperties>
</file>